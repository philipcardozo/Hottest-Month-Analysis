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cardozo/Desktop/Stats/Hottest Month/"/>
    </mc:Choice>
  </mc:AlternateContent>
  <xr:revisionPtr revIDLastSave="0" documentId="13_ncr:1_{0C03B901-EA2A-1B4A-A8DF-6B06013B0088}" xr6:coauthVersionLast="47" xr6:coauthVersionMax="47" xr10:uidLastSave="{00000000-0000-0000-0000-000000000000}"/>
  <bookViews>
    <workbookView xWindow="0" yWindow="660" windowWidth="30240" windowHeight="18980" xr2:uid="{C8281520-E2E7-8E4D-96DF-7288FBFE25D8}"/>
  </bookViews>
  <sheets>
    <sheet name="General" sheetId="1" r:id="rId1"/>
    <sheet name="Ju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L25" i="1"/>
  <c r="L24" i="1"/>
  <c r="L23" i="1"/>
  <c r="C34" i="1"/>
  <c r="B34" i="1"/>
</calcChain>
</file>

<file path=xl/sharedStrings.xml><?xml version="1.0" encoding="utf-8"?>
<sst xmlns="http://schemas.openxmlformats.org/spreadsheetml/2006/main" count="56" uniqueCount="51">
  <si>
    <t>July</t>
  </si>
  <si>
    <t>October</t>
  </si>
  <si>
    <t>Margin</t>
  </si>
  <si>
    <t>Days</t>
  </si>
  <si>
    <t>Expected</t>
  </si>
  <si>
    <t>Actual</t>
  </si>
  <si>
    <t>August small starter -0.03</t>
  </si>
  <si>
    <t>Sep NO (wall) -0.22</t>
  </si>
  <si>
    <t>Needed</t>
  </si>
  <si>
    <t xml:space="preserve">ECMWF forecast, next days, current days, future, ensemble and more </t>
  </si>
  <si>
    <t>Kalshi</t>
  </si>
  <si>
    <t>Expected (prev d)</t>
  </si>
  <si>
    <t>P(YES)</t>
  </si>
  <si>
    <t>Needed &gt;1.25</t>
  </si>
  <si>
    <t>Total</t>
  </si>
  <si>
    <t>Regression</t>
  </si>
  <si>
    <t>P(YES) + EMA.5</t>
  </si>
  <si>
    <t>P(YES) + FLAT</t>
  </si>
  <si>
    <t>Volatility</t>
  </si>
  <si>
    <t>NASA (poly)</t>
  </si>
  <si>
    <t>ERA-5</t>
  </si>
  <si>
    <t>forecast_log</t>
  </si>
  <si>
    <t>NOAA</t>
  </si>
  <si>
    <t>ENAO</t>
  </si>
  <si>
    <t>NINO-3.4</t>
  </si>
  <si>
    <t>Subsurface Pacific</t>
  </si>
  <si>
    <t>Trade Winds</t>
  </si>
  <si>
    <t>SOI neg</t>
  </si>
  <si>
    <t>Tropical Shift</t>
  </si>
  <si>
    <t>Ensemble</t>
  </si>
  <si>
    <t>dev3</t>
  </si>
  <si>
    <t>Notes (AI)</t>
  </si>
  <si>
    <t>Expected + bias-4</t>
  </si>
  <si>
    <t>0.73–+0.78</t>
  </si>
  <si>
    <t>vol</t>
  </si>
  <si>
    <t>Raw</t>
  </si>
  <si>
    <t>Corrected</t>
  </si>
  <si>
    <t>Need</t>
  </si>
  <si>
    <t>Gap</t>
  </si>
  <si>
    <t>−0.122</t>
  </si>
  <si>
    <t>−0.147</t>
  </si>
  <si>
    <t>−0.193</t>
  </si>
  <si>
    <t>−0.270</t>
  </si>
  <si>
    <t>−0.534</t>
  </si>
  <si>
    <t>−0.998</t>
  </si>
  <si>
    <t>Expected (raw)</t>
  </si>
  <si>
    <t>Persistence</t>
  </si>
  <si>
    <t>0.69328 /day</t>
  </si>
  <si>
    <t>Gap (changing in rate of change)</t>
  </si>
  <si>
    <t>Projection risign per day since rate of change</t>
  </si>
  <si>
    <t>July daily record (+0.905, Jul 22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</si>
</sst>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rgb="FFE1E0D9"/>
      <name val="Helvetica"/>
      <family val="2"/>
    </font>
    <font>
      <sz val="14"/>
      <color rgb="FFE1E0D9"/>
      <name val="Helvetica"/>
      <family val="2"/>
    </font>
    <font>
      <b/>
      <sz val="12"/>
      <color theme="1"/>
      <name val="Aptos Narrow"/>
      <scheme val="minor"/>
    </font>
    <font>
      <sz val="13"/>
      <color rgb="FFE1E0D9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0" fontId="0" fillId="0" borderId="0" xfId="0" quotePrefix="1"/>
    <xf numFmtId="10" fontId="0" fillId="0" borderId="0" xfId="0" applyNumberFormat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2" borderId="0" xfId="0" applyFont="1" applyFill="1"/>
    <xf numFmtId="1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955040</xdr:colOff>
      <xdr:row>12</xdr:row>
      <xdr:rowOff>197038</xdr:rowOff>
    </xdr:from>
    <xdr:to>
      <xdr:col>6</xdr:col>
      <xdr:colOff>975360</xdr:colOff>
      <xdr:row>17</xdr:row>
      <xdr:rowOff>71386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2E0D0-FCCF-05C4-0812-84495F470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720" y="2635438"/>
          <a:ext cx="2702560" cy="890348"/>
        </a:xfrm>
        <a:prstGeom prst="rect">
          <a:avLst/>
        </a:prstGeom>
      </xdr:spPr>
    </xdr:pic>
    <xdr:clientData/>
  </xdr:twoCellAnchor>
  <xdr:twoCellAnchor editAs="oneCell">
    <xdr:from>
      <xdr:col>7</xdr:col>
      <xdr:colOff>191870</xdr:colOff>
      <xdr:row>12</xdr:row>
      <xdr:rowOff>186010</xdr:rowOff>
    </xdr:from>
    <xdr:to>
      <xdr:col>14</xdr:col>
      <xdr:colOff>252903</xdr:colOff>
      <xdr:row>19</xdr:row>
      <xdr:rowOff>24833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059C4-77CF-0E87-10FF-E319C3B5B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4964" y="2789967"/>
          <a:ext cx="5415133" cy="124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4AA3-15E2-3B4C-BE3A-C3AE28162A49}">
  <dimension ref="A1:AA135"/>
  <sheetViews>
    <sheetView tabSelected="1" topLeftCell="A18" zoomScale="223" workbookViewId="0">
      <pane xSplit="1" topLeftCell="B1" activePane="topRight" state="frozen"/>
      <selection pane="topRight" activeCell="D24" sqref="D24"/>
    </sheetView>
  </sheetViews>
  <sheetFormatPr baseColWidth="10" defaultRowHeight="16" x14ac:dyDescent="0.2"/>
  <cols>
    <col min="1" max="1" width="8" customWidth="1"/>
    <col min="2" max="2" width="12.6640625" customWidth="1"/>
    <col min="3" max="3" width="15.33203125" bestFit="1" customWidth="1"/>
    <col min="4" max="4" width="12.33203125" bestFit="1" customWidth="1"/>
    <col min="6" max="6" width="11.83203125" customWidth="1"/>
    <col min="7" max="7" width="13.1640625" bestFit="1" customWidth="1"/>
    <col min="8" max="8" width="10" bestFit="1" customWidth="1"/>
    <col min="10" max="10" width="6.33203125" bestFit="1" customWidth="1"/>
  </cols>
  <sheetData>
    <row r="1" spans="1:27" x14ac:dyDescent="0.2">
      <c r="A1" t="s">
        <v>0</v>
      </c>
      <c r="Q1" t="s">
        <v>10</v>
      </c>
    </row>
    <row r="2" spans="1:27" x14ac:dyDescent="0.2">
      <c r="A2" t="s">
        <v>3</v>
      </c>
      <c r="B2" t="s">
        <v>45</v>
      </c>
      <c r="C2" t="s">
        <v>32</v>
      </c>
      <c r="D2" t="s">
        <v>46</v>
      </c>
      <c r="E2" s="9" t="s">
        <v>5</v>
      </c>
      <c r="F2" t="s">
        <v>8</v>
      </c>
      <c r="G2" t="s">
        <v>12</v>
      </c>
      <c r="H2" t="s">
        <v>17</v>
      </c>
      <c r="I2" t="s">
        <v>16</v>
      </c>
      <c r="J2" t="s">
        <v>15</v>
      </c>
      <c r="K2" t="s">
        <v>29</v>
      </c>
      <c r="L2" t="s">
        <v>30</v>
      </c>
      <c r="M2" t="s">
        <v>34</v>
      </c>
      <c r="P2" t="s">
        <v>31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 x14ac:dyDescent="0.2">
      <c r="A3" s="1">
        <v>46204</v>
      </c>
      <c r="F3">
        <v>1.1850000000000001</v>
      </c>
      <c r="H3">
        <v>7.5300000000000006E-2</v>
      </c>
    </row>
    <row r="4" spans="1:27" x14ac:dyDescent="0.2">
      <c r="A4" s="1">
        <v>46205</v>
      </c>
      <c r="F4" t="s">
        <v>47</v>
      </c>
    </row>
    <row r="5" spans="1:27" x14ac:dyDescent="0.2">
      <c r="A5" s="1">
        <v>46206</v>
      </c>
    </row>
    <row r="6" spans="1:27" ht="18" x14ac:dyDescent="0.2">
      <c r="A6" s="1">
        <v>46207</v>
      </c>
      <c r="F6" t="s">
        <v>48</v>
      </c>
      <c r="H6" s="8" t="s">
        <v>35</v>
      </c>
      <c r="I6" s="8" t="s">
        <v>36</v>
      </c>
      <c r="J6" s="8" t="s">
        <v>37</v>
      </c>
      <c r="K6" s="8" t="s">
        <v>38</v>
      </c>
    </row>
    <row r="7" spans="1:27" ht="18" x14ac:dyDescent="0.2">
      <c r="A7" s="1">
        <v>46208</v>
      </c>
      <c r="F7" t="s">
        <v>49</v>
      </c>
      <c r="H7" s="10">
        <v>46229</v>
      </c>
      <c r="I7" s="5">
        <v>0.63300000000000001</v>
      </c>
      <c r="J7" s="5">
        <v>0.69699999999999995</v>
      </c>
      <c r="K7" s="5">
        <v>0.81799999999999995</v>
      </c>
      <c r="L7" s="5" t="s">
        <v>39</v>
      </c>
    </row>
    <row r="8" spans="1:27" ht="18" x14ac:dyDescent="0.2">
      <c r="A8" s="1">
        <v>46209</v>
      </c>
      <c r="F8" t="s">
        <v>50</v>
      </c>
      <c r="H8" s="10">
        <v>46230</v>
      </c>
      <c r="I8" s="5">
        <v>0.63300000000000001</v>
      </c>
      <c r="J8" s="5">
        <v>0.69599999999999995</v>
      </c>
      <c r="K8" s="5">
        <v>0.84299999999999997</v>
      </c>
      <c r="L8" s="5" t="s">
        <v>40</v>
      </c>
    </row>
    <row r="9" spans="1:27" ht="18" x14ac:dyDescent="0.2">
      <c r="A9" s="1">
        <v>46210</v>
      </c>
      <c r="H9" s="10">
        <v>46231</v>
      </c>
      <c r="I9" s="5">
        <v>0.623</v>
      </c>
      <c r="J9" s="5">
        <v>0.68600000000000005</v>
      </c>
      <c r="K9" s="5">
        <v>0.879</v>
      </c>
      <c r="L9" s="5" t="s">
        <v>41</v>
      </c>
    </row>
    <row r="10" spans="1:27" ht="18" x14ac:dyDescent="0.2">
      <c r="A10" s="1">
        <v>46211</v>
      </c>
      <c r="H10" s="10">
        <v>46232</v>
      </c>
      <c r="I10" s="5">
        <v>0.61099999999999999</v>
      </c>
      <c r="J10" s="5">
        <v>0.67400000000000004</v>
      </c>
      <c r="K10" s="5">
        <v>0.94399999999999995</v>
      </c>
      <c r="L10" s="5" t="s">
        <v>42</v>
      </c>
    </row>
    <row r="11" spans="1:27" ht="18" x14ac:dyDescent="0.2">
      <c r="A11" s="1">
        <v>46212</v>
      </c>
      <c r="H11" s="10">
        <v>46233</v>
      </c>
      <c r="I11" s="5">
        <v>0.48199999999999998</v>
      </c>
      <c r="J11" s="5">
        <v>0.54500000000000004</v>
      </c>
      <c r="K11" s="5">
        <v>1.079</v>
      </c>
      <c r="L11" s="5" t="s">
        <v>43</v>
      </c>
    </row>
    <row r="12" spans="1:27" ht="18" x14ac:dyDescent="0.2">
      <c r="A12" s="1">
        <v>46213</v>
      </c>
      <c r="H12" s="10">
        <v>46234</v>
      </c>
      <c r="I12" s="5">
        <v>0.55100000000000005</v>
      </c>
      <c r="J12" s="5">
        <v>0.61399999999999999</v>
      </c>
      <c r="K12" s="5">
        <v>1.6120000000000001</v>
      </c>
      <c r="L12" s="5" t="s">
        <v>44</v>
      </c>
    </row>
    <row r="13" spans="1:27" x14ac:dyDescent="0.2">
      <c r="A13" s="1">
        <v>46214</v>
      </c>
    </row>
    <row r="14" spans="1:27" x14ac:dyDescent="0.2">
      <c r="A14" s="1">
        <v>46215</v>
      </c>
    </row>
    <row r="15" spans="1:27" x14ac:dyDescent="0.2">
      <c r="A15" s="1">
        <v>46216</v>
      </c>
    </row>
    <row r="16" spans="1:27" x14ac:dyDescent="0.2">
      <c r="A16" s="1">
        <v>46217</v>
      </c>
    </row>
    <row r="17" spans="1:13" x14ac:dyDescent="0.2">
      <c r="A17" s="1">
        <v>46218</v>
      </c>
    </row>
    <row r="18" spans="1:13" x14ac:dyDescent="0.2">
      <c r="A18" s="1">
        <v>46219</v>
      </c>
    </row>
    <row r="19" spans="1:13" x14ac:dyDescent="0.2">
      <c r="A19" s="1">
        <v>46220</v>
      </c>
    </row>
    <row r="20" spans="1:13" x14ac:dyDescent="0.2">
      <c r="A20" s="1">
        <v>46221</v>
      </c>
    </row>
    <row r="21" spans="1:13" x14ac:dyDescent="0.2">
      <c r="A21" s="1">
        <v>46222</v>
      </c>
      <c r="K21">
        <v>0.14499999999999999</v>
      </c>
    </row>
    <row r="22" spans="1:13" x14ac:dyDescent="0.2">
      <c r="A22" s="1">
        <v>46223</v>
      </c>
      <c r="B22" s="2">
        <v>0.76500000000000001</v>
      </c>
      <c r="E22" s="2"/>
      <c r="K22">
        <v>0.17499999999999999</v>
      </c>
    </row>
    <row r="23" spans="1:13" x14ac:dyDescent="0.2">
      <c r="A23" s="1">
        <v>46224</v>
      </c>
      <c r="B23" s="2">
        <v>0.79400000000000004</v>
      </c>
      <c r="E23" s="2">
        <v>0.7077</v>
      </c>
      <c r="K23">
        <v>0.16</v>
      </c>
      <c r="L23">
        <f>B23-E23</f>
        <v>8.6300000000000043E-2</v>
      </c>
    </row>
    <row r="24" spans="1:13" x14ac:dyDescent="0.2">
      <c r="A24" s="1">
        <v>46225</v>
      </c>
      <c r="B24" s="2">
        <v>0.78300000000000003</v>
      </c>
      <c r="C24">
        <v>0.82899999999999996</v>
      </c>
      <c r="E24" s="2">
        <v>0.73170000000000002</v>
      </c>
      <c r="K24">
        <v>0.13200000000000001</v>
      </c>
      <c r="L24">
        <f>B24-E24</f>
        <v>5.1300000000000012E-2</v>
      </c>
    </row>
    <row r="25" spans="1:13" x14ac:dyDescent="0.2">
      <c r="A25" s="1">
        <v>46226</v>
      </c>
      <c r="B25" s="2">
        <v>0.73609999999999998</v>
      </c>
      <c r="C25">
        <v>0.83330000000000004</v>
      </c>
      <c r="E25">
        <v>0.76400000000000001</v>
      </c>
      <c r="J25" s="3">
        <v>0.188</v>
      </c>
      <c r="K25">
        <v>8.4000000000000005E-2</v>
      </c>
      <c r="L25">
        <f>B25-E25</f>
        <v>-2.7900000000000036E-2</v>
      </c>
    </row>
    <row r="26" spans="1:13" x14ac:dyDescent="0.2">
      <c r="A26" s="1">
        <v>46227</v>
      </c>
      <c r="B26">
        <v>0.80500000000000005</v>
      </c>
      <c r="C26">
        <v>0.84</v>
      </c>
      <c r="E26">
        <v>0.78400000000000003</v>
      </c>
      <c r="J26" s="3">
        <v>0.14299999999999999</v>
      </c>
      <c r="K26">
        <v>5.6000000000000001E-2</v>
      </c>
      <c r="M26" s="4">
        <v>52179</v>
      </c>
    </row>
    <row r="27" spans="1:13" ht="17" x14ac:dyDescent="0.2">
      <c r="A27" s="1">
        <v>46228</v>
      </c>
      <c r="B27">
        <v>0.67700000000000005</v>
      </c>
      <c r="C27">
        <v>0.73299999999999998</v>
      </c>
      <c r="E27">
        <v>0.78600000000000003</v>
      </c>
      <c r="F27" s="3"/>
      <c r="G27" s="7" t="s">
        <v>33</v>
      </c>
      <c r="H27" s="3">
        <v>0.16300000000000001</v>
      </c>
      <c r="J27" s="3">
        <v>0.224</v>
      </c>
      <c r="K27">
        <v>3.4000000000000002E-2</v>
      </c>
      <c r="M27" s="4">
        <v>53277</v>
      </c>
    </row>
    <row r="28" spans="1:13" x14ac:dyDescent="0.2">
      <c r="A28" s="1">
        <v>46229</v>
      </c>
      <c r="B28">
        <v>0.63300000000000001</v>
      </c>
      <c r="C28">
        <f>B28+0.0755</f>
        <v>0.70850000000000002</v>
      </c>
      <c r="D28">
        <v>0.78</v>
      </c>
      <c r="E28">
        <v>0</v>
      </c>
      <c r="H28" s="3">
        <v>0.224</v>
      </c>
    </row>
    <row r="29" spans="1:13" x14ac:dyDescent="0.2">
      <c r="A29" s="1">
        <v>46230</v>
      </c>
      <c r="B29">
        <v>0</v>
      </c>
      <c r="C29">
        <v>0</v>
      </c>
      <c r="E29">
        <v>0</v>
      </c>
      <c r="H29" s="3">
        <v>0.24199999999999999</v>
      </c>
    </row>
    <row r="30" spans="1:13" x14ac:dyDescent="0.2">
      <c r="A30" s="1">
        <v>46231</v>
      </c>
      <c r="B30">
        <v>0</v>
      </c>
      <c r="C30">
        <v>0</v>
      </c>
      <c r="E30">
        <v>0</v>
      </c>
    </row>
    <row r="31" spans="1:13" x14ac:dyDescent="0.2">
      <c r="A31" s="1">
        <v>46232</v>
      </c>
      <c r="B31">
        <v>0</v>
      </c>
      <c r="C31">
        <v>0</v>
      </c>
      <c r="E31">
        <v>0</v>
      </c>
    </row>
    <row r="32" spans="1:13" x14ac:dyDescent="0.2">
      <c r="A32" s="1">
        <v>46233</v>
      </c>
      <c r="B32">
        <v>0</v>
      </c>
      <c r="C32">
        <v>0</v>
      </c>
      <c r="E32">
        <v>0</v>
      </c>
    </row>
    <row r="33" spans="1:9" x14ac:dyDescent="0.2">
      <c r="A33" s="1">
        <v>46234</v>
      </c>
      <c r="B33">
        <v>0</v>
      </c>
      <c r="C33">
        <v>0</v>
      </c>
      <c r="E33">
        <v>0</v>
      </c>
    </row>
    <row r="34" spans="1:9" x14ac:dyDescent="0.2">
      <c r="A34" s="1" t="s">
        <v>14</v>
      </c>
      <c r="B34">
        <f>AVERAGE(B3:B33)</f>
        <v>0.43275833333333336</v>
      </c>
      <c r="C34">
        <f>AVERAGE(C3:C33)</f>
        <v>0.39438000000000001</v>
      </c>
      <c r="E34">
        <v>0.68769999999999998</v>
      </c>
      <c r="F34">
        <v>0.84699999999999998</v>
      </c>
    </row>
    <row r="35" spans="1:9" x14ac:dyDescent="0.2">
      <c r="A35" s="1"/>
    </row>
    <row r="36" spans="1:9" x14ac:dyDescent="0.2">
      <c r="A36" t="s">
        <v>6</v>
      </c>
    </row>
    <row r="37" spans="1:9" x14ac:dyDescent="0.2">
      <c r="A37" t="s">
        <v>3</v>
      </c>
      <c r="B37" t="s">
        <v>11</v>
      </c>
      <c r="C37" t="s">
        <v>5</v>
      </c>
      <c r="D37" t="s">
        <v>13</v>
      </c>
      <c r="E37" t="s">
        <v>12</v>
      </c>
    </row>
    <row r="38" spans="1:9" x14ac:dyDescent="0.2">
      <c r="A38" s="1">
        <v>46235</v>
      </c>
    </row>
    <row r="39" spans="1:9" x14ac:dyDescent="0.2">
      <c r="A39" s="1">
        <v>46236</v>
      </c>
    </row>
    <row r="40" spans="1:9" x14ac:dyDescent="0.2">
      <c r="A40" s="1">
        <v>46237</v>
      </c>
    </row>
    <row r="41" spans="1:9" x14ac:dyDescent="0.2">
      <c r="A41" s="1">
        <v>46238</v>
      </c>
    </row>
    <row r="42" spans="1:9" x14ac:dyDescent="0.2">
      <c r="A42" s="1">
        <v>46239</v>
      </c>
    </row>
    <row r="43" spans="1:9" x14ac:dyDescent="0.2">
      <c r="A43" s="1">
        <v>46240</v>
      </c>
      <c r="I43" s="6"/>
    </row>
    <row r="44" spans="1:9" x14ac:dyDescent="0.2">
      <c r="A44" s="1">
        <v>46241</v>
      </c>
    </row>
    <row r="45" spans="1:9" x14ac:dyDescent="0.2">
      <c r="A45" s="1">
        <v>46242</v>
      </c>
    </row>
    <row r="46" spans="1:9" x14ac:dyDescent="0.2">
      <c r="A46" s="1">
        <v>46243</v>
      </c>
    </row>
    <row r="47" spans="1:9" x14ac:dyDescent="0.2">
      <c r="A47" s="1">
        <v>46244</v>
      </c>
    </row>
    <row r="48" spans="1:9" x14ac:dyDescent="0.2">
      <c r="A48" s="1">
        <v>46245</v>
      </c>
    </row>
    <row r="49" spans="1:2" x14ac:dyDescent="0.2">
      <c r="A49" s="1">
        <v>46246</v>
      </c>
    </row>
    <row r="50" spans="1:2" x14ac:dyDescent="0.2">
      <c r="A50" s="1">
        <v>46247</v>
      </c>
    </row>
    <row r="51" spans="1:2" x14ac:dyDescent="0.2">
      <c r="A51" s="1">
        <v>46248</v>
      </c>
    </row>
    <row r="52" spans="1:2" x14ac:dyDescent="0.2">
      <c r="A52" s="1">
        <v>46249</v>
      </c>
    </row>
    <row r="53" spans="1:2" x14ac:dyDescent="0.2">
      <c r="A53" s="1">
        <v>46250</v>
      </c>
    </row>
    <row r="54" spans="1:2" x14ac:dyDescent="0.2">
      <c r="A54" s="1">
        <v>46251</v>
      </c>
    </row>
    <row r="55" spans="1:2" x14ac:dyDescent="0.2">
      <c r="A55" s="1">
        <v>46252</v>
      </c>
    </row>
    <row r="56" spans="1:2" x14ac:dyDescent="0.2">
      <c r="A56" s="1">
        <v>46253</v>
      </c>
    </row>
    <row r="57" spans="1:2" x14ac:dyDescent="0.2">
      <c r="A57" s="1">
        <v>46254</v>
      </c>
    </row>
    <row r="58" spans="1:2" x14ac:dyDescent="0.2">
      <c r="A58" s="1">
        <v>46255</v>
      </c>
    </row>
    <row r="59" spans="1:2" x14ac:dyDescent="0.2">
      <c r="A59" s="1">
        <v>46256</v>
      </c>
    </row>
    <row r="60" spans="1:2" x14ac:dyDescent="0.2">
      <c r="A60" s="1">
        <v>46257</v>
      </c>
      <c r="B60" s="2"/>
    </row>
    <row r="61" spans="1:2" x14ac:dyDescent="0.2">
      <c r="A61" s="1">
        <v>46258</v>
      </c>
    </row>
    <row r="62" spans="1:2" x14ac:dyDescent="0.2">
      <c r="A62" s="1">
        <v>46259</v>
      </c>
    </row>
    <row r="63" spans="1:2" x14ac:dyDescent="0.2">
      <c r="A63" s="1">
        <v>46260</v>
      </c>
    </row>
    <row r="64" spans="1:2" x14ac:dyDescent="0.2">
      <c r="A64" s="1">
        <v>46261</v>
      </c>
    </row>
    <row r="65" spans="1:4" x14ac:dyDescent="0.2">
      <c r="A65" s="1">
        <v>46262</v>
      </c>
    </row>
    <row r="66" spans="1:4" x14ac:dyDescent="0.2">
      <c r="A66" s="1">
        <v>46263</v>
      </c>
    </row>
    <row r="67" spans="1:4" x14ac:dyDescent="0.2">
      <c r="A67" s="1">
        <v>46264</v>
      </c>
    </row>
    <row r="68" spans="1:4" x14ac:dyDescent="0.2">
      <c r="A68" s="1">
        <v>46265</v>
      </c>
    </row>
    <row r="70" spans="1:4" x14ac:dyDescent="0.2">
      <c r="A70" t="s">
        <v>7</v>
      </c>
    </row>
    <row r="71" spans="1:4" x14ac:dyDescent="0.2">
      <c r="A71" t="s">
        <v>3</v>
      </c>
      <c r="B71" t="s">
        <v>4</v>
      </c>
      <c r="C71" t="s">
        <v>5</v>
      </c>
      <c r="D71" t="s">
        <v>2</v>
      </c>
    </row>
    <row r="72" spans="1:4" x14ac:dyDescent="0.2">
      <c r="A72" s="1">
        <v>46266</v>
      </c>
    </row>
    <row r="73" spans="1:4" x14ac:dyDescent="0.2">
      <c r="A73" s="1">
        <v>46267</v>
      </c>
    </row>
    <row r="74" spans="1:4" x14ac:dyDescent="0.2">
      <c r="A74" s="1">
        <v>46268</v>
      </c>
    </row>
    <row r="75" spans="1:4" x14ac:dyDescent="0.2">
      <c r="A75" s="1">
        <v>46269</v>
      </c>
    </row>
    <row r="76" spans="1:4" x14ac:dyDescent="0.2">
      <c r="A76" s="1">
        <v>46270</v>
      </c>
    </row>
    <row r="77" spans="1:4" x14ac:dyDescent="0.2">
      <c r="A77" s="1">
        <v>46271</v>
      </c>
    </row>
    <row r="78" spans="1:4" x14ac:dyDescent="0.2">
      <c r="A78" s="1">
        <v>46272</v>
      </c>
    </row>
    <row r="79" spans="1:4" x14ac:dyDescent="0.2">
      <c r="A79" s="1">
        <v>46273</v>
      </c>
    </row>
    <row r="80" spans="1:4" x14ac:dyDescent="0.2">
      <c r="A80" s="1">
        <v>46274</v>
      </c>
    </row>
    <row r="81" spans="1:2" x14ac:dyDescent="0.2">
      <c r="A81" s="1">
        <v>46275</v>
      </c>
    </row>
    <row r="82" spans="1:2" x14ac:dyDescent="0.2">
      <c r="A82" s="1">
        <v>46276</v>
      </c>
    </row>
    <row r="83" spans="1:2" x14ac:dyDescent="0.2">
      <c r="A83" s="1">
        <v>46277</v>
      </c>
    </row>
    <row r="84" spans="1:2" x14ac:dyDescent="0.2">
      <c r="A84" s="1">
        <v>46278</v>
      </c>
    </row>
    <row r="85" spans="1:2" x14ac:dyDescent="0.2">
      <c r="A85" s="1">
        <v>46279</v>
      </c>
    </row>
    <row r="86" spans="1:2" x14ac:dyDescent="0.2">
      <c r="A86" s="1">
        <v>46280</v>
      </c>
    </row>
    <row r="87" spans="1:2" x14ac:dyDescent="0.2">
      <c r="A87" s="1">
        <v>46281</v>
      </c>
    </row>
    <row r="88" spans="1:2" x14ac:dyDescent="0.2">
      <c r="A88" s="1">
        <v>46282</v>
      </c>
    </row>
    <row r="89" spans="1:2" x14ac:dyDescent="0.2">
      <c r="A89" s="1">
        <v>46283</v>
      </c>
    </row>
    <row r="90" spans="1:2" x14ac:dyDescent="0.2">
      <c r="A90" s="1">
        <v>46284</v>
      </c>
    </row>
    <row r="91" spans="1:2" x14ac:dyDescent="0.2">
      <c r="A91" s="1">
        <v>46285</v>
      </c>
    </row>
    <row r="92" spans="1:2" x14ac:dyDescent="0.2">
      <c r="A92" s="1">
        <v>46286</v>
      </c>
    </row>
    <row r="93" spans="1:2" x14ac:dyDescent="0.2">
      <c r="A93" s="1">
        <v>46287</v>
      </c>
    </row>
    <row r="94" spans="1:2" x14ac:dyDescent="0.2">
      <c r="A94" s="1">
        <v>46288</v>
      </c>
      <c r="B94" s="2"/>
    </row>
    <row r="95" spans="1:2" x14ac:dyDescent="0.2">
      <c r="A95" s="1">
        <v>46289</v>
      </c>
    </row>
    <row r="96" spans="1:2" x14ac:dyDescent="0.2">
      <c r="A96" s="1">
        <v>46290</v>
      </c>
    </row>
    <row r="97" spans="1:1" x14ac:dyDescent="0.2">
      <c r="A97" s="1">
        <v>46291</v>
      </c>
    </row>
    <row r="98" spans="1:1" x14ac:dyDescent="0.2">
      <c r="A98" s="1">
        <v>46292</v>
      </c>
    </row>
    <row r="99" spans="1:1" x14ac:dyDescent="0.2">
      <c r="A99" s="1">
        <v>46293</v>
      </c>
    </row>
    <row r="100" spans="1:1" x14ac:dyDescent="0.2">
      <c r="A100" s="1">
        <v>46294</v>
      </c>
    </row>
    <row r="101" spans="1:1" x14ac:dyDescent="0.2">
      <c r="A101" s="1">
        <v>46295</v>
      </c>
    </row>
    <row r="102" spans="1:1" x14ac:dyDescent="0.2">
      <c r="A102" s="1"/>
    </row>
    <row r="103" spans="1:1" x14ac:dyDescent="0.2">
      <c r="A103" t="s">
        <v>1</v>
      </c>
    </row>
    <row r="104" spans="1:1" x14ac:dyDescent="0.2">
      <c r="A104" s="1">
        <v>46296</v>
      </c>
    </row>
    <row r="105" spans="1:1" x14ac:dyDescent="0.2">
      <c r="A105" s="1">
        <v>46297</v>
      </c>
    </row>
    <row r="106" spans="1:1" x14ac:dyDescent="0.2">
      <c r="A106" s="1">
        <v>46298</v>
      </c>
    </row>
    <row r="107" spans="1:1" x14ac:dyDescent="0.2">
      <c r="A107" s="1">
        <v>46299</v>
      </c>
    </row>
    <row r="108" spans="1:1" x14ac:dyDescent="0.2">
      <c r="A108" s="1">
        <v>46300</v>
      </c>
    </row>
    <row r="109" spans="1:1" x14ac:dyDescent="0.2">
      <c r="A109" s="1">
        <v>46301</v>
      </c>
    </row>
    <row r="110" spans="1:1" x14ac:dyDescent="0.2">
      <c r="A110" s="1">
        <v>46302</v>
      </c>
    </row>
    <row r="111" spans="1:1" x14ac:dyDescent="0.2">
      <c r="A111" s="1">
        <v>46303</v>
      </c>
    </row>
    <row r="112" spans="1:1" x14ac:dyDescent="0.2">
      <c r="A112" s="1">
        <v>46304</v>
      </c>
    </row>
    <row r="113" spans="1:1" x14ac:dyDescent="0.2">
      <c r="A113" s="1">
        <v>46305</v>
      </c>
    </row>
    <row r="114" spans="1:1" x14ac:dyDescent="0.2">
      <c r="A114" s="1">
        <v>46306</v>
      </c>
    </row>
    <row r="115" spans="1:1" x14ac:dyDescent="0.2">
      <c r="A115" s="1">
        <v>46307</v>
      </c>
    </row>
    <row r="116" spans="1:1" x14ac:dyDescent="0.2">
      <c r="A116" s="1">
        <v>46308</v>
      </c>
    </row>
    <row r="117" spans="1:1" x14ac:dyDescent="0.2">
      <c r="A117" s="1">
        <v>46309</v>
      </c>
    </row>
    <row r="118" spans="1:1" x14ac:dyDescent="0.2">
      <c r="A118" s="1">
        <v>46310</v>
      </c>
    </row>
    <row r="119" spans="1:1" x14ac:dyDescent="0.2">
      <c r="A119" s="1">
        <v>46311</v>
      </c>
    </row>
    <row r="120" spans="1:1" x14ac:dyDescent="0.2">
      <c r="A120" s="1">
        <v>46312</v>
      </c>
    </row>
    <row r="121" spans="1:1" x14ac:dyDescent="0.2">
      <c r="A121" s="1">
        <v>46313</v>
      </c>
    </row>
    <row r="122" spans="1:1" x14ac:dyDescent="0.2">
      <c r="A122" s="1">
        <v>46314</v>
      </c>
    </row>
    <row r="123" spans="1:1" x14ac:dyDescent="0.2">
      <c r="A123" s="1">
        <v>46315</v>
      </c>
    </row>
    <row r="124" spans="1:1" x14ac:dyDescent="0.2">
      <c r="A124" s="1">
        <v>46316</v>
      </c>
    </row>
    <row r="125" spans="1:1" x14ac:dyDescent="0.2">
      <c r="A125" s="1">
        <v>46317</v>
      </c>
    </row>
    <row r="126" spans="1:1" x14ac:dyDescent="0.2">
      <c r="A126" s="1">
        <v>46318</v>
      </c>
    </row>
    <row r="127" spans="1:1" x14ac:dyDescent="0.2">
      <c r="A127" s="1">
        <v>46319</v>
      </c>
    </row>
    <row r="128" spans="1:1" x14ac:dyDescent="0.2">
      <c r="A128" s="1">
        <v>46320</v>
      </c>
    </row>
    <row r="129" spans="1:1" x14ac:dyDescent="0.2">
      <c r="A129" s="1">
        <v>46321</v>
      </c>
    </row>
    <row r="130" spans="1:1" x14ac:dyDescent="0.2">
      <c r="A130" s="1">
        <v>46322</v>
      </c>
    </row>
    <row r="131" spans="1:1" x14ac:dyDescent="0.2">
      <c r="A131" s="1">
        <v>46323</v>
      </c>
    </row>
    <row r="132" spans="1:1" x14ac:dyDescent="0.2">
      <c r="A132" s="1">
        <v>46324</v>
      </c>
    </row>
    <row r="133" spans="1:1" x14ac:dyDescent="0.2">
      <c r="A133" s="1">
        <v>46325</v>
      </c>
    </row>
    <row r="134" spans="1:1" x14ac:dyDescent="0.2">
      <c r="A134" s="1">
        <v>46326</v>
      </c>
    </row>
    <row r="135" spans="1:1" x14ac:dyDescent="0.2">
      <c r="A135" s="1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42E6-9BC9-644C-86B0-2F06263AE34E}">
  <dimension ref="A1:A5"/>
  <sheetViews>
    <sheetView zoomScale="191" workbookViewId="0">
      <selection activeCell="C14" sqref="C14"/>
    </sheetView>
  </sheetViews>
  <sheetFormatPr baseColWidth="10" defaultRowHeight="16" x14ac:dyDescent="0.2"/>
  <sheetData>
    <row r="1" spans="1:1" x14ac:dyDescent="0.2">
      <c r="A1" t="s">
        <v>9</v>
      </c>
    </row>
    <row r="5" spans="1:1" x14ac:dyDescent="0.2">
      <c r="A5" s="1">
        <v>46227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cardozo</dc:creator>
  <cp:lastModifiedBy>felipe cardozo</cp:lastModifiedBy>
  <dcterms:created xsi:type="dcterms:W3CDTF">2026-07-24T20:05:50Z</dcterms:created>
  <dcterms:modified xsi:type="dcterms:W3CDTF">2026-07-28T03:59:04Z</dcterms:modified>
</cp:coreProperties>
</file>