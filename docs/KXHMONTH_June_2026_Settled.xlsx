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felipecardozo/Desktop/Stats/Hottest Month/"/>
    </mc:Choice>
  </mc:AlternateContent>
  <xr:revisionPtr revIDLastSave="0" documentId="13_ncr:1_{FAAE2170-C495-C04F-B2C2-233655C56B09}" xr6:coauthVersionLast="47" xr6:coauthVersionMax="47" xr10:uidLastSave="{00000000-0000-0000-0000-000000000000}"/>
  <bookViews>
    <workbookView xWindow="20" yWindow="660" windowWidth="30240" windowHeight="18980" xr2:uid="{00000000-000D-0000-FFFF-FFFF00000000}"/>
  </bookViews>
  <sheets>
    <sheet name="Jun_2026" sheetId="1" r:id="rId1"/>
    <sheet name="Jul_2026" sheetId="2" r:id="rId2"/>
    <sheet name="Aug_2026" sheetId="4" r:id="rId3"/>
    <sheet name="Sep_2026" sheetId="5" r:id="rId4"/>
  </sheets>
  <definedNames>
    <definedName name="_xlnm.Print_Titles" localSheetId="0">Jun_2026!$32:$32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C79" i="1" s="1"/>
  <c r="B175" i="1"/>
  <c r="B174" i="1"/>
  <c r="B173" i="1"/>
  <c r="B172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H88" i="1"/>
  <c r="H89" i="1" s="1"/>
  <c r="H90" i="1" s="1"/>
  <c r="H91" i="1" s="1"/>
  <c r="B88" i="1"/>
  <c r="T49" i="1"/>
  <c r="L49" i="1"/>
  <c r="R49" i="1" s="1"/>
  <c r="K49" i="1"/>
  <c r="O49" i="1" s="1"/>
  <c r="J49" i="1"/>
  <c r="M49" i="1" s="1"/>
  <c r="I49" i="1"/>
  <c r="H49" i="1"/>
  <c r="T48" i="1"/>
  <c r="L48" i="1"/>
  <c r="R48" i="1" s="1"/>
  <c r="K48" i="1"/>
  <c r="P48" i="1" s="1"/>
  <c r="J48" i="1"/>
  <c r="M48" i="1" s="1"/>
  <c r="I48" i="1"/>
  <c r="H48" i="1"/>
  <c r="T47" i="1"/>
  <c r="L47" i="1"/>
  <c r="Q47" i="1" s="1"/>
  <c r="K47" i="1"/>
  <c r="P47" i="1" s="1"/>
  <c r="J47" i="1"/>
  <c r="N47" i="1" s="1"/>
  <c r="I47" i="1"/>
  <c r="H47" i="1"/>
  <c r="T46" i="1"/>
  <c r="L46" i="1"/>
  <c r="R46" i="1" s="1"/>
  <c r="K46" i="1"/>
  <c r="O46" i="1" s="1"/>
  <c r="J46" i="1"/>
  <c r="N46" i="1" s="1"/>
  <c r="I46" i="1"/>
  <c r="H46" i="1"/>
  <c r="T45" i="1"/>
  <c r="L45" i="1"/>
  <c r="Q45" i="1" s="1"/>
  <c r="K45" i="1"/>
  <c r="P45" i="1" s="1"/>
  <c r="J45" i="1"/>
  <c r="M45" i="1" s="1"/>
  <c r="I45" i="1"/>
  <c r="H45" i="1"/>
  <c r="T44" i="1"/>
  <c r="L44" i="1"/>
  <c r="R44" i="1" s="1"/>
  <c r="K44" i="1"/>
  <c r="P44" i="1" s="1"/>
  <c r="J44" i="1"/>
  <c r="N44" i="1" s="1"/>
  <c r="I44" i="1"/>
  <c r="H44" i="1"/>
  <c r="T43" i="1"/>
  <c r="L43" i="1"/>
  <c r="Q43" i="1" s="1"/>
  <c r="K43" i="1"/>
  <c r="P43" i="1" s="1"/>
  <c r="J43" i="1"/>
  <c r="N43" i="1" s="1"/>
  <c r="I43" i="1"/>
  <c r="H43" i="1"/>
  <c r="T42" i="1"/>
  <c r="L42" i="1"/>
  <c r="R42" i="1" s="1"/>
  <c r="K42" i="1"/>
  <c r="P42" i="1" s="1"/>
  <c r="J42" i="1"/>
  <c r="N42" i="1" s="1"/>
  <c r="I42" i="1"/>
  <c r="H42" i="1"/>
  <c r="T41" i="1"/>
  <c r="L41" i="1"/>
  <c r="R41" i="1" s="1"/>
  <c r="K41" i="1"/>
  <c r="P41" i="1" s="1"/>
  <c r="J41" i="1"/>
  <c r="M41" i="1" s="1"/>
  <c r="I41" i="1"/>
  <c r="H41" i="1"/>
  <c r="T40" i="1"/>
  <c r="L40" i="1"/>
  <c r="R40" i="1" s="1"/>
  <c r="K40" i="1"/>
  <c r="P40" i="1" s="1"/>
  <c r="J40" i="1"/>
  <c r="N40" i="1" s="1"/>
  <c r="I40" i="1"/>
  <c r="H40" i="1"/>
  <c r="T39" i="1"/>
  <c r="L39" i="1"/>
  <c r="Q39" i="1" s="1"/>
  <c r="K39" i="1"/>
  <c r="P39" i="1" s="1"/>
  <c r="J39" i="1"/>
  <c r="N39" i="1" s="1"/>
  <c r="I39" i="1"/>
  <c r="H39" i="1"/>
  <c r="T38" i="1"/>
  <c r="L38" i="1"/>
  <c r="R38" i="1" s="1"/>
  <c r="K38" i="1"/>
  <c r="P38" i="1" s="1"/>
  <c r="J38" i="1"/>
  <c r="N38" i="1" s="1"/>
  <c r="I38" i="1"/>
  <c r="H38" i="1"/>
  <c r="T37" i="1"/>
  <c r="L37" i="1"/>
  <c r="R37" i="1" s="1"/>
  <c r="K37" i="1"/>
  <c r="O37" i="1" s="1"/>
  <c r="J37" i="1"/>
  <c r="N37" i="1" s="1"/>
  <c r="I37" i="1"/>
  <c r="H37" i="1"/>
  <c r="T36" i="1"/>
  <c r="L36" i="1"/>
  <c r="Q36" i="1" s="1"/>
  <c r="K36" i="1"/>
  <c r="P36" i="1" s="1"/>
  <c r="J36" i="1"/>
  <c r="M36" i="1" s="1"/>
  <c r="I36" i="1"/>
  <c r="H36" i="1"/>
  <c r="T35" i="1"/>
  <c r="L35" i="1"/>
  <c r="Q35" i="1" s="1"/>
  <c r="K35" i="1"/>
  <c r="O35" i="1" s="1"/>
  <c r="J35" i="1"/>
  <c r="N35" i="1" s="1"/>
  <c r="I35" i="1"/>
  <c r="H35" i="1"/>
  <c r="T34" i="1"/>
  <c r="L34" i="1"/>
  <c r="Q34" i="1" s="1"/>
  <c r="K34" i="1"/>
  <c r="P34" i="1" s="1"/>
  <c r="J34" i="1"/>
  <c r="N34" i="1" s="1"/>
  <c r="I34" i="1"/>
  <c r="H34" i="1"/>
  <c r="T33" i="1"/>
  <c r="L33" i="1"/>
  <c r="R33" i="1" s="1"/>
  <c r="K33" i="1"/>
  <c r="O33" i="1" s="1"/>
  <c r="J33" i="1"/>
  <c r="N33" i="1" s="1"/>
  <c r="I33" i="1"/>
  <c r="H33" i="1"/>
  <c r="T32" i="1"/>
  <c r="L32" i="1"/>
  <c r="Q32" i="1" s="1"/>
  <c r="K32" i="1"/>
  <c r="P32" i="1" s="1"/>
  <c r="J32" i="1"/>
  <c r="M32" i="1" s="1"/>
  <c r="I32" i="1"/>
  <c r="H32" i="1"/>
  <c r="T31" i="1"/>
  <c r="L31" i="1"/>
  <c r="R31" i="1" s="1"/>
  <c r="K31" i="1"/>
  <c r="O31" i="1" s="1"/>
  <c r="J31" i="1"/>
  <c r="N31" i="1" s="1"/>
  <c r="I31" i="1"/>
  <c r="H31" i="1"/>
  <c r="T30" i="1"/>
  <c r="L30" i="1"/>
  <c r="Q30" i="1" s="1"/>
  <c r="K30" i="1"/>
  <c r="P30" i="1" s="1"/>
  <c r="J30" i="1"/>
  <c r="N30" i="1" s="1"/>
  <c r="I30" i="1"/>
  <c r="H30" i="1"/>
  <c r="T29" i="1"/>
  <c r="L29" i="1"/>
  <c r="R29" i="1" s="1"/>
  <c r="K29" i="1"/>
  <c r="O29" i="1" s="1"/>
  <c r="J29" i="1"/>
  <c r="N29" i="1" s="1"/>
  <c r="I29" i="1"/>
  <c r="H29" i="1"/>
  <c r="T28" i="1"/>
  <c r="L28" i="1"/>
  <c r="Q28" i="1" s="1"/>
  <c r="K28" i="1"/>
  <c r="P28" i="1" s="1"/>
  <c r="J28" i="1"/>
  <c r="M28" i="1" s="1"/>
  <c r="I28" i="1"/>
  <c r="H28" i="1"/>
  <c r="T27" i="1"/>
  <c r="L27" i="1"/>
  <c r="Q27" i="1" s="1"/>
  <c r="K27" i="1"/>
  <c r="P27" i="1" s="1"/>
  <c r="J27" i="1"/>
  <c r="N27" i="1" s="1"/>
  <c r="I27" i="1"/>
  <c r="H27" i="1"/>
  <c r="T26" i="1"/>
  <c r="L26" i="1"/>
  <c r="Q26" i="1" s="1"/>
  <c r="K26" i="1"/>
  <c r="P26" i="1" s="1"/>
  <c r="J26" i="1"/>
  <c r="N26" i="1" s="1"/>
  <c r="I26" i="1"/>
  <c r="H26" i="1"/>
  <c r="T25" i="1"/>
  <c r="L25" i="1"/>
  <c r="R25" i="1" s="1"/>
  <c r="K25" i="1"/>
  <c r="O25" i="1" s="1"/>
  <c r="J25" i="1"/>
  <c r="N25" i="1" s="1"/>
  <c r="I25" i="1"/>
  <c r="H25" i="1"/>
  <c r="T24" i="1"/>
  <c r="L24" i="1"/>
  <c r="Q24" i="1" s="1"/>
  <c r="K24" i="1"/>
  <c r="P24" i="1" s="1"/>
  <c r="J24" i="1"/>
  <c r="M24" i="1" s="1"/>
  <c r="I24" i="1"/>
  <c r="H24" i="1"/>
  <c r="T23" i="1"/>
  <c r="L23" i="1"/>
  <c r="R23" i="1" s="1"/>
  <c r="K23" i="1"/>
  <c r="P23" i="1" s="1"/>
  <c r="J23" i="1"/>
  <c r="N23" i="1" s="1"/>
  <c r="I23" i="1"/>
  <c r="H23" i="1"/>
  <c r="T22" i="1"/>
  <c r="L22" i="1"/>
  <c r="Q22" i="1" s="1"/>
  <c r="K22" i="1"/>
  <c r="P22" i="1" s="1"/>
  <c r="J22" i="1"/>
  <c r="M22" i="1" s="1"/>
  <c r="I22" i="1"/>
  <c r="H22" i="1"/>
  <c r="T21" i="1"/>
  <c r="L21" i="1"/>
  <c r="R21" i="1" s="1"/>
  <c r="K21" i="1"/>
  <c r="O21" i="1" s="1"/>
  <c r="J21" i="1"/>
  <c r="N21" i="1" s="1"/>
  <c r="I21" i="1"/>
  <c r="H21" i="1"/>
  <c r="T20" i="1"/>
  <c r="L20" i="1"/>
  <c r="Q20" i="1" s="1"/>
  <c r="K20" i="1"/>
  <c r="J20" i="1"/>
  <c r="M20" i="1" s="1"/>
  <c r="I20" i="1"/>
  <c r="H20" i="1"/>
  <c r="C17" i="1"/>
  <c r="S47" i="1" s="1"/>
  <c r="G8" i="1"/>
  <c r="G7" i="1"/>
  <c r="G6" i="1"/>
  <c r="G5" i="1"/>
  <c r="G4" i="1"/>
  <c r="C8" i="1"/>
  <c r="C7" i="1"/>
  <c r="C6" i="1"/>
  <c r="C5" i="1"/>
  <c r="W68" i="1" l="1"/>
  <c r="W23" i="1"/>
  <c r="W30" i="1"/>
  <c r="W40" i="1"/>
  <c r="W45" i="1"/>
  <c r="W55" i="1"/>
  <c r="W62" i="1"/>
  <c r="W20" i="1"/>
  <c r="W25" i="1"/>
  <c r="W35" i="1"/>
  <c r="W42" i="1"/>
  <c r="W52" i="1"/>
  <c r="W57" i="1"/>
  <c r="W66" i="1"/>
  <c r="W22" i="1"/>
  <c r="W32" i="1"/>
  <c r="W37" i="1"/>
  <c r="W47" i="1"/>
  <c r="W54" i="1"/>
  <c r="W64" i="1"/>
  <c r="W27" i="1"/>
  <c r="W34" i="1"/>
  <c r="W44" i="1"/>
  <c r="W49" i="1"/>
  <c r="W59" i="1"/>
  <c r="W24" i="1"/>
  <c r="W29" i="1"/>
  <c r="W39" i="1"/>
  <c r="W46" i="1"/>
  <c r="W56" i="1"/>
  <c r="W61" i="1"/>
  <c r="W26" i="1"/>
  <c r="W36" i="1"/>
  <c r="W41" i="1"/>
  <c r="W51" i="1"/>
  <c r="W58" i="1"/>
  <c r="W67" i="1"/>
  <c r="W21" i="1"/>
  <c r="W31" i="1"/>
  <c r="W38" i="1"/>
  <c r="W48" i="1"/>
  <c r="W53" i="1"/>
  <c r="W63" i="1"/>
  <c r="W69" i="1"/>
  <c r="W28" i="1"/>
  <c r="W33" i="1"/>
  <c r="W43" i="1"/>
  <c r="W50" i="1"/>
  <c r="W60" i="1"/>
  <c r="W65" i="1"/>
  <c r="M26" i="1"/>
  <c r="S45" i="1"/>
  <c r="M40" i="1"/>
  <c r="S28" i="1"/>
  <c r="Q25" i="1"/>
  <c r="O41" i="1"/>
  <c r="R28" i="1"/>
  <c r="Q31" i="1"/>
  <c r="Q29" i="1"/>
  <c r="M46" i="1"/>
  <c r="P46" i="1"/>
  <c r="O26" i="1"/>
  <c r="M29" i="1"/>
  <c r="S29" i="1"/>
  <c r="R32" i="1"/>
  <c r="O48" i="1"/>
  <c r="S49" i="1"/>
  <c r="O23" i="1"/>
  <c r="O38" i="1"/>
  <c r="S40" i="1"/>
  <c r="N41" i="1"/>
  <c r="Q46" i="1"/>
  <c r="S25" i="1"/>
  <c r="O22" i="1"/>
  <c r="P35" i="1"/>
  <c r="R35" i="1"/>
  <c r="R39" i="1"/>
  <c r="R45" i="1"/>
  <c r="Q48" i="1"/>
  <c r="N22" i="1"/>
  <c r="M30" i="1"/>
  <c r="M33" i="1"/>
  <c r="S32" i="1"/>
  <c r="S34" i="1"/>
  <c r="S37" i="1"/>
  <c r="S21" i="1"/>
  <c r="S39" i="1"/>
  <c r="S22" i="1"/>
  <c r="R27" i="1"/>
  <c r="P31" i="1"/>
  <c r="O34" i="1"/>
  <c r="M38" i="1"/>
  <c r="Q44" i="1"/>
  <c r="N45" i="1"/>
  <c r="N48" i="1"/>
  <c r="C84" i="1"/>
  <c r="Q42" i="1"/>
  <c r="R20" i="1"/>
  <c r="C68" i="1"/>
  <c r="Q33" i="1"/>
  <c r="R36" i="1"/>
  <c r="S20" i="1"/>
  <c r="M21" i="1"/>
  <c r="Q23" i="1"/>
  <c r="S26" i="1"/>
  <c r="O27" i="1"/>
  <c r="S36" i="1"/>
  <c r="M37" i="1"/>
  <c r="O40" i="1"/>
  <c r="S42" i="1"/>
  <c r="M43" i="1"/>
  <c r="M47" i="1"/>
  <c r="B92" i="1"/>
  <c r="C70" i="1"/>
  <c r="C75" i="1" s="1"/>
  <c r="Q21" i="1"/>
  <c r="R24" i="1"/>
  <c r="O30" i="1"/>
  <c r="S33" i="1"/>
  <c r="M34" i="1"/>
  <c r="Q37" i="1"/>
  <c r="S43" i="1"/>
  <c r="O44" i="1"/>
  <c r="C66" i="1"/>
  <c r="S24" i="1"/>
  <c r="M25" i="1"/>
  <c r="S30" i="1"/>
  <c r="Q40" i="1"/>
  <c r="C67" i="1"/>
  <c r="I5" i="1"/>
  <c r="S48" i="1"/>
  <c r="S44" i="1"/>
  <c r="N20" i="1"/>
  <c r="P21" i="1"/>
  <c r="R22" i="1"/>
  <c r="N24" i="1"/>
  <c r="P25" i="1"/>
  <c r="R26" i="1"/>
  <c r="N28" i="1"/>
  <c r="P29" i="1"/>
  <c r="R30" i="1"/>
  <c r="N32" i="1"/>
  <c r="P33" i="1"/>
  <c r="R34" i="1"/>
  <c r="N36" i="1"/>
  <c r="P37" i="1"/>
  <c r="S38" i="1"/>
  <c r="M39" i="1"/>
  <c r="S41" i="1"/>
  <c r="M42" i="1"/>
  <c r="R43" i="1"/>
  <c r="O47" i="1"/>
  <c r="P49" i="1"/>
  <c r="O24" i="1"/>
  <c r="O28" i="1"/>
  <c r="M31" i="1"/>
  <c r="O32" i="1"/>
  <c r="M35" i="1"/>
  <c r="O42" i="1"/>
  <c r="Q49" i="1"/>
  <c r="O20" i="1"/>
  <c r="M23" i="1"/>
  <c r="M27" i="1"/>
  <c r="O36" i="1"/>
  <c r="M44" i="1"/>
  <c r="R47" i="1"/>
  <c r="C9" i="1"/>
  <c r="I6" i="1"/>
  <c r="P20" i="1"/>
  <c r="O39" i="1"/>
  <c r="B84" i="1"/>
  <c r="I4" i="1"/>
  <c r="I7" i="1"/>
  <c r="D84" i="1"/>
  <c r="D85" i="1"/>
  <c r="B85" i="1"/>
  <c r="I8" i="1"/>
  <c r="C72" i="1"/>
  <c r="Q38" i="1"/>
  <c r="Q41" i="1"/>
  <c r="O45" i="1"/>
  <c r="S46" i="1"/>
  <c r="N49" i="1"/>
  <c r="C85" i="1"/>
  <c r="I9" i="1"/>
  <c r="S23" i="1"/>
  <c r="S27" i="1"/>
  <c r="S31" i="1"/>
  <c r="S35" i="1"/>
  <c r="O43" i="1"/>
  <c r="C71" i="1"/>
  <c r="Z67" i="1" l="1"/>
  <c r="Z51" i="1"/>
  <c r="Z46" i="1"/>
  <c r="Z41" i="1"/>
  <c r="Z36" i="1"/>
  <c r="Z61" i="1"/>
  <c r="Z56" i="1"/>
  <c r="Z39" i="1"/>
  <c r="Z34" i="1"/>
  <c r="Z29" i="1"/>
  <c r="Z24" i="1"/>
  <c r="Z59" i="1"/>
  <c r="Z54" i="1"/>
  <c r="Z49" i="1"/>
  <c r="Z44" i="1"/>
  <c r="Z27" i="1"/>
  <c r="Z22" i="1"/>
  <c r="Z68" i="1"/>
  <c r="Z64" i="1"/>
  <c r="Z47" i="1"/>
  <c r="Z42" i="1"/>
  <c r="Z37" i="1"/>
  <c r="Z32" i="1"/>
  <c r="Z66" i="1"/>
  <c r="Z62" i="1"/>
  <c r="Z57" i="1"/>
  <c r="Z52" i="1"/>
  <c r="Z35" i="1"/>
  <c r="Z30" i="1"/>
  <c r="Z25" i="1"/>
  <c r="Z20" i="1"/>
  <c r="Z55" i="1"/>
  <c r="Z50" i="1"/>
  <c r="Z45" i="1"/>
  <c r="Z40" i="1"/>
  <c r="Z23" i="1"/>
  <c r="Z69" i="1"/>
  <c r="Z65" i="1"/>
  <c r="Z60" i="1"/>
  <c r="Z43" i="1"/>
  <c r="Z38" i="1"/>
  <c r="Z33" i="1"/>
  <c r="Z28" i="1"/>
  <c r="Z63" i="1"/>
  <c r="Z58" i="1"/>
  <c r="Z53" i="1"/>
  <c r="Z48" i="1"/>
  <c r="Z31" i="1"/>
  <c r="Z26" i="1"/>
  <c r="Z21" i="1"/>
  <c r="C73" i="1"/>
  <c r="C74" i="1" s="1"/>
  <c r="D86" i="1"/>
  <c r="D87" i="1"/>
  <c r="B86" i="1"/>
  <c r="B90" i="1"/>
  <c r="C86" i="1"/>
  <c r="B87" i="1"/>
  <c r="B97" i="1"/>
  <c r="B96" i="1"/>
  <c r="B99" i="1"/>
  <c r="B98" i="1"/>
  <c r="C87" i="1"/>
  <c r="C76" i="1"/>
  <c r="C77" i="1" s="1"/>
  <c r="C78" i="1" s="1"/>
  <c r="AB22" i="1" l="1"/>
  <c r="AB62" i="1"/>
  <c r="AB52" i="1"/>
  <c r="AB30" i="1"/>
  <c r="AB20" i="1"/>
  <c r="AB50" i="1"/>
  <c r="AB28" i="1"/>
  <c r="AB24" i="1"/>
  <c r="AB46" i="1"/>
  <c r="X30" i="1"/>
  <c r="Y30" i="1" s="1"/>
  <c r="X55" i="1"/>
  <c r="Y55" i="1" s="1"/>
  <c r="X54" i="1"/>
  <c r="Y54" i="1" s="1"/>
  <c r="X27" i="1"/>
  <c r="Y27" i="1" s="1"/>
  <c r="X29" i="1"/>
  <c r="Y29" i="1" s="1"/>
  <c r="X56" i="1"/>
  <c r="Y56" i="1" s="1"/>
  <c r="X58" i="1"/>
  <c r="Y58" i="1" s="1"/>
  <c r="X31" i="1"/>
  <c r="Y31" i="1" s="1"/>
  <c r="AB36" i="1"/>
  <c r="AB32" i="1"/>
  <c r="AB26" i="1"/>
  <c r="X33" i="1"/>
  <c r="Y33" i="1" s="1"/>
  <c r="X60" i="1"/>
  <c r="Y60" i="1" s="1"/>
  <c r="AB31" i="1"/>
  <c r="AB33" i="1"/>
  <c r="X57" i="1"/>
  <c r="Y57" i="1" s="1"/>
  <c r="X32" i="1"/>
  <c r="Y32" i="1" s="1"/>
  <c r="AB55" i="1"/>
  <c r="AB57" i="1"/>
  <c r="X36" i="1"/>
  <c r="Y36" i="1" s="1"/>
  <c r="AB59" i="1"/>
  <c r="AB61" i="1"/>
  <c r="AB48" i="1"/>
  <c r="AB63" i="1"/>
  <c r="AB65" i="1"/>
  <c r="X37" i="1"/>
  <c r="Y37" i="1" s="1"/>
  <c r="X41" i="1"/>
  <c r="Y41" i="1" s="1"/>
  <c r="AB56" i="1"/>
  <c r="X43" i="1"/>
  <c r="Y43" i="1" s="1"/>
  <c r="X42" i="1"/>
  <c r="Y42" i="1" s="1"/>
  <c r="AB68" i="1"/>
  <c r="AB44" i="1"/>
  <c r="AB40" i="1"/>
  <c r="AB34" i="1"/>
  <c r="X62" i="1"/>
  <c r="Y62" i="1" s="1"/>
  <c r="X35" i="1"/>
  <c r="Y35" i="1" s="1"/>
  <c r="X34" i="1"/>
  <c r="Y34" i="1" s="1"/>
  <c r="X59" i="1"/>
  <c r="Y59" i="1" s="1"/>
  <c r="AB37" i="1"/>
  <c r="X61" i="1"/>
  <c r="Y61" i="1" s="1"/>
  <c r="X38" i="1"/>
  <c r="Y38" i="1" s="1"/>
  <c r="X63" i="1"/>
  <c r="Y63" i="1" s="1"/>
  <c r="AB60" i="1"/>
  <c r="AB42" i="1"/>
  <c r="AB41" i="1"/>
  <c r="X65" i="1"/>
  <c r="Y65" i="1" s="1"/>
  <c r="X40" i="1"/>
  <c r="Y40" i="1" s="1"/>
  <c r="X64" i="1"/>
  <c r="Y64" i="1" s="1"/>
  <c r="AB35" i="1"/>
  <c r="X39" i="1"/>
  <c r="Y39" i="1" s="1"/>
  <c r="X67" i="1"/>
  <c r="Y67" i="1" s="1"/>
  <c r="AB39" i="1"/>
  <c r="AB58" i="1"/>
  <c r="X66" i="1"/>
  <c r="Y66" i="1" s="1"/>
  <c r="AB67" i="1"/>
  <c r="AB64" i="1"/>
  <c r="AB21" i="1"/>
  <c r="X45" i="1"/>
  <c r="Y45" i="1" s="1"/>
  <c r="X20" i="1"/>
  <c r="Y20" i="1" s="1"/>
  <c r="AB43" i="1"/>
  <c r="AB45" i="1"/>
  <c r="X68" i="1"/>
  <c r="Y68" i="1" s="1"/>
  <c r="X44" i="1"/>
  <c r="Y44" i="1" s="1"/>
  <c r="AB66" i="1"/>
  <c r="X46" i="1"/>
  <c r="Y46" i="1" s="1"/>
  <c r="AB49" i="1"/>
  <c r="X21" i="1"/>
  <c r="Y21" i="1" s="1"/>
  <c r="X48" i="1"/>
  <c r="Y48" i="1" s="1"/>
  <c r="X69" i="1"/>
  <c r="Y69" i="1" s="1"/>
  <c r="AB54" i="1"/>
  <c r="X50" i="1"/>
  <c r="Y50" i="1" s="1"/>
  <c r="X23" i="1"/>
  <c r="Y23" i="1" s="1"/>
  <c r="X22" i="1"/>
  <c r="Y22" i="1" s="1"/>
  <c r="X47" i="1"/>
  <c r="Y47" i="1" s="1"/>
  <c r="X24" i="1"/>
  <c r="Y24" i="1" s="1"/>
  <c r="AB47" i="1"/>
  <c r="X26" i="1"/>
  <c r="Y26" i="1" s="1"/>
  <c r="X51" i="1"/>
  <c r="Y51" i="1" s="1"/>
  <c r="AB38" i="1"/>
  <c r="AB51" i="1"/>
  <c r="AB53" i="1"/>
  <c r="X25" i="1"/>
  <c r="Y25" i="1" s="1"/>
  <c r="AB23" i="1"/>
  <c r="X49" i="1"/>
  <c r="Y49" i="1" s="1"/>
  <c r="AB29" i="1"/>
  <c r="X53" i="1"/>
  <c r="Y53" i="1" s="1"/>
  <c r="AB69" i="1"/>
  <c r="X28" i="1"/>
  <c r="Y28" i="1" s="1"/>
  <c r="X52" i="1"/>
  <c r="Y52" i="1" s="1"/>
  <c r="AB25" i="1"/>
  <c r="AB27" i="1"/>
  <c r="C91" i="1"/>
  <c r="D91" i="1"/>
  <c r="E95" i="1"/>
  <c r="C80" i="1"/>
  <c r="B91" i="1"/>
  <c r="B89" i="1"/>
  <c r="B95" i="1"/>
</calcChain>
</file>

<file path=xl/sharedStrings.xml><?xml version="1.0" encoding="utf-8"?>
<sst xmlns="http://schemas.openxmlformats.org/spreadsheetml/2006/main" count="191" uniqueCount="191">
  <si>
    <t>Settlement thresholds</t>
  </si>
  <si>
    <t>June record (printed)</t>
  </si>
  <si>
    <t>June 2024 (NOAA). This record STOOD.</t>
  </si>
  <si>
    <t>Latent threshold  (YES iff latent ≥)</t>
  </si>
  <si>
    <t>Printed had to be ≥1.19. It printed 1.09 — never close.</t>
  </si>
  <si>
    <t>a  (intercept)</t>
  </si>
  <si>
    <t>b  (slope)</t>
  </si>
  <si>
    <t>σ_translation  (residual)</t>
  </si>
  <si>
    <t>n  (years in fit)</t>
  </si>
  <si>
    <t>K_threshold on ERA5 scale  = (latent−a)/b</t>
  </si>
  <si>
    <t>k (observed days)</t>
  </si>
  <si>
    <t>sd_f  (ERA5 scale)</t>
  </si>
  <si>
    <t>ref (offline)</t>
  </si>
  <si>
    <t>σ_NOAA</t>
  </si>
  <si>
    <t>External indices &amp; model settings</t>
  </si>
  <si>
    <t>ONI (CPC, AMJ 2026)</t>
  </si>
  <si>
    <t>El Niño ramping through the June window.</t>
  </si>
  <si>
    <t>GISTEMP June record (printed)</t>
  </si>
  <si>
    <t>GISTEMP latent threshold</t>
  </si>
  <si>
    <t>Polymarket brackets: ties count INTO the bracket.</t>
  </si>
  <si>
    <t>GISTEMP a / b / σ</t>
  </si>
  <si>
    <t>OLS GISTEMP_Jun ~ ERA5_Jun, n=36.</t>
  </si>
  <si>
    <t>ρ  forecast-error correlation mix</t>
  </si>
  <si>
    <t>Climatology reference (5-yr mean ERA5 June)</t>
  </si>
  <si>
    <t>Date</t>
  </si>
  <si>
    <t>ERA5 obs
anomaly °C</t>
  </si>
  <si>
    <t>ECMWF arch.
mean °C</t>
  </si>
  <si>
    <t>ENS spread
σ °C</t>
  </si>
  <si>
    <t>USED
(obs→fcst)</t>
  </si>
  <si>
    <t>Running MTD
(banked)</t>
  </si>
  <si>
    <t>Err ENS
(obs−fcst)</t>
  </si>
  <si>
    <t>Err GFS</t>
  </si>
  <si>
    <t>Err GEFS</t>
  </si>
  <si>
    <t>|e|ENS</t>
  </si>
  <si>
    <t>e²ENS</t>
  </si>
  <si>
    <t>|e|GFS</t>
  </si>
  <si>
    <t>e²GFS</t>
  </si>
  <si>
    <t>|e|GEFS</t>
  </si>
  <si>
    <t>e²GEFS</t>
  </si>
  <si>
    <t>(obs−clim)²</t>
  </si>
  <si>
    <t>ENS σ
remaining</t>
  </si>
  <si>
    <t>k  — observed days</t>
  </si>
  <si>
    <t>All 30 days observed → month fully banked.</t>
  </si>
  <si>
    <t>Banked mean  B_k</t>
  </si>
  <si>
    <t>equals the final ERA5 June mean.</t>
  </si>
  <si>
    <t>Remaining days</t>
  </si>
  <si>
    <t>Zero — nothing left to forecast.</t>
  </si>
  <si>
    <t>Remaining-days forecast mean  R</t>
  </si>
  <si>
    <t>Empty by construction (no remaining days).</t>
  </si>
  <si>
    <t>FULL-MONTH ERA5 projection</t>
  </si>
  <si>
    <t>With k=30 this IS the realised ERA5 June mean.</t>
  </si>
  <si>
    <t>sd_f from variance collapse at k</t>
  </si>
  <si>
    <t>At k=30 forecast error is 0 by definition.</t>
  </si>
  <si>
    <t>Mean ENS spread over remaining days</t>
  </si>
  <si>
    <t>ENS term = ρ · mean_spread · (D−k)/D</t>
  </si>
  <si>
    <t>σ_forecast  = √(sd_f² + ENS_term²)</t>
  </si>
  <si>
    <t>Collapses to 0 — all remaining uncertainty is gone.</t>
  </si>
  <si>
    <t>This is what the model predicted NOAA would print.</t>
  </si>
  <si>
    <t>σ_total = √((b·σ_forecast)² + σ_translation²)</t>
  </si>
  <si>
    <t>z = (latent_threshold − μ)/σ_total</t>
  </si>
  <si>
    <t>P(YES) — single-path Normal</t>
  </si>
  <si>
    <t>At k=30 this is the complete-information probability.</t>
  </si>
  <si>
    <t>Required remaining-day average (diagnostic)</t>
  </si>
  <si>
    <t>Blank — no days remained.</t>
  </si>
  <si>
    <t>Jul 08</t>
  </si>
  <si>
    <t>BLOCK 5 — VERIFICATION &amp; MODEL WEIGHTS</t>
  </si>
  <si>
    <t>Metric</t>
  </si>
  <si>
    <t>ECMWF (archived)</t>
  </si>
  <si>
    <t>GFS</t>
  </si>
  <si>
    <t>GEFS</t>
  </si>
  <si>
    <t>n verified days</t>
  </si>
  <si>
    <t>Bias (mean error, obs−fcst)</t>
  </si>
  <si>
    <t>MAE</t>
  </si>
  <si>
    <t>RMSE</t>
  </si>
  <si>
    <t>Mean ENS spread σ</t>
  </si>
  <si>
    <t>Spread-to-skill ratio (ENS)</t>
  </si>
  <si>
    <t>RMSE climatology (benchmark)</t>
  </si>
  <si>
    <t>Skill vs climatology  (1 − RMSE/RMSE_clim)</t>
  </si>
  <si>
    <t>dev3 — mean error, last 3 verified days</t>
  </si>
  <si>
    <t>Model weights (inverse recent MAE, normalised)</t>
  </si>
  <si>
    <t>w ECMWF</t>
  </si>
  <si>
    <t>w GFS</t>
  </si>
  <si>
    <t xml:space="preserve">   R²</t>
  </si>
  <si>
    <t xml:space="preserve">   Correlation</t>
  </si>
  <si>
    <t xml:space="preserve">   Directional accuracy %</t>
  </si>
  <si>
    <t xml:space="preserve">   Interval coverage 50/80/90%</t>
  </si>
  <si>
    <t>NO contracts bought</t>
  </si>
  <si>
    <t>Average NO buy price</t>
  </si>
  <si>
    <t>Total buy cost</t>
  </si>
  <si>
    <t>Contracts closed early</t>
  </si>
  <si>
    <t>Proceeds from closes</t>
  </si>
  <si>
    <t>Fees paid</t>
  </si>
  <si>
    <t>Net NO carried to settlement</t>
  </si>
  <si>
    <t>Settlement payout  (net × $1)</t>
  </si>
  <si>
    <t>REALISED P&amp;L</t>
  </si>
  <si>
    <t>YES close (¢)</t>
  </si>
  <si>
    <t>May 28</t>
  </si>
  <si>
    <t>May 29</t>
  </si>
  <si>
    <t>May 30</t>
  </si>
  <si>
    <t>May 31</t>
  </si>
  <si>
    <t>Jun 01</t>
  </si>
  <si>
    <t>Jun 02</t>
  </si>
  <si>
    <t>Jun 03</t>
  </si>
  <si>
    <t>Jun 04</t>
  </si>
  <si>
    <t>Jun 05</t>
  </si>
  <si>
    <t>Jun 06</t>
  </si>
  <si>
    <t>Jun 07</t>
  </si>
  <si>
    <t>Jun 08</t>
  </si>
  <si>
    <t>Jun 09</t>
  </si>
  <si>
    <t>Jun 10</t>
  </si>
  <si>
    <t>Jun 11</t>
  </si>
  <si>
    <t>Jun 12</t>
  </si>
  <si>
    <t>Jun 13</t>
  </si>
  <si>
    <t>Jun 14</t>
  </si>
  <si>
    <t>Jun 15</t>
  </si>
  <si>
    <t>Jun 16</t>
  </si>
  <si>
    <t>Jun 17</t>
  </si>
  <si>
    <t>Jun 18</t>
  </si>
  <si>
    <t>Jun 19</t>
  </si>
  <si>
    <t>Jun 20</t>
  </si>
  <si>
    <t>Jun 21</t>
  </si>
  <si>
    <t>Jun 22</t>
  </si>
  <si>
    <t>Jun 23</t>
  </si>
  <si>
    <t>Jun 24</t>
  </si>
  <si>
    <t>Jun 25</t>
  </si>
  <si>
    <t>Jun 26</t>
  </si>
  <si>
    <t>Jun 27</t>
  </si>
  <si>
    <t>Jun 28</t>
  </si>
  <si>
    <t>Jun 29</t>
  </si>
  <si>
    <t>Jun 30</t>
  </si>
  <si>
    <t>Jul 01</t>
  </si>
  <si>
    <t>Jul 02</t>
  </si>
  <si>
    <t>Jul 03</t>
  </si>
  <si>
    <t>Jul 04</t>
  </si>
  <si>
    <t>Jul 05</t>
  </si>
  <si>
    <t>Jul 06</t>
  </si>
  <si>
    <t>Jul 07</t>
  </si>
  <si>
    <t>Jul 09</t>
  </si>
  <si>
    <t>Year</t>
  </si>
  <si>
    <t>ERA5 Jun mean</t>
  </si>
  <si>
    <t>NOAA Jun</t>
  </si>
  <si>
    <t>ERA5 May mean</t>
  </si>
  <si>
    <t>May(k2)</t>
  </si>
  <si>
    <t>Jun first-2</t>
  </si>
  <si>
    <t>May(k5)</t>
  </si>
  <si>
    <t>Jun first-5</t>
  </si>
  <si>
    <t>May(k10)</t>
  </si>
  <si>
    <t>Jun first-10</t>
  </si>
  <si>
    <t>May(k15)</t>
  </si>
  <si>
    <t>Jun first-15</t>
  </si>
  <si>
    <t>May(k20)</t>
  </si>
  <si>
    <t>Jun first-20</t>
  </si>
  <si>
    <t>May(k25)</t>
  </si>
  <si>
    <t>Jun first-25</t>
  </si>
  <si>
    <t>May(k30)</t>
  </si>
  <si>
    <t>Jun first-30</t>
  </si>
  <si>
    <t>μ_NOAA</t>
  </si>
  <si>
    <t>σ_member</t>
  </si>
  <si>
    <t>P(YES) member</t>
  </si>
  <si>
    <t>μ_GISTEMP</t>
  </si>
  <si>
    <t>P(YES) GIS member</t>
  </si>
  <si>
    <t>Members loaded</t>
  </si>
  <si>
    <t>Median member ERA5</t>
  </si>
  <si>
    <t>Members breaching the record</t>
  </si>
  <si>
    <t>KXHMONTH-26JUN  —  “Will June 2026 be the hottest June ever?”</t>
  </si>
  <si>
    <t>51-MEMBER ENSEMBLE</t>
  </si>
  <si>
    <t>Member spread σ</t>
  </si>
  <si>
    <t>Jun ERA5 mean °C</t>
  </si>
  <si>
    <t>BLOCK 7 — CALIBRATION AUDIT TRAIL: June history 1990–2025</t>
  </si>
  <si>
    <t>REALISED TRADING RESULT</t>
  </si>
  <si>
    <t xml:space="preserve">μ_NOAA = a + b · ERA5_projection  </t>
  </si>
  <si>
    <t>BLOCK 2 — DAILY TABLE (Jun 1–30)</t>
  </si>
  <si>
    <t>CHANGW</t>
  </si>
  <si>
    <t>CHANGE</t>
  </si>
  <si>
    <t>NASA GISTEMP — Polymarket oracle</t>
  </si>
  <si>
    <t>formula: INTERCEPT(NOAA_Jun, ERA5_Jun)</t>
  </si>
  <si>
    <t xml:space="preserve">GEFS </t>
  </si>
  <si>
    <t xml:space="preserve">Variance σ_NOAA </t>
  </si>
  <si>
    <t xml:space="preserve">Tie-band probability </t>
  </si>
  <si>
    <t>Volume</t>
  </si>
  <si>
    <t>BLOCK 4 — MARKET &amp; PROFITABILITY</t>
  </si>
  <si>
    <t>ENSEMBLE AVERAGE</t>
  </si>
  <si>
    <t>ENSEMBLE HOTTEST</t>
  </si>
  <si>
    <t>ENSEMBLE COLDEST</t>
  </si>
  <si>
    <t>ENSEMBLE PROBABILITY</t>
  </si>
  <si>
    <t>ROI</t>
  </si>
  <si>
    <t xml:space="preserve">BLOCK 3 — MONTH BUILD &amp; PROBABILITY </t>
  </si>
  <si>
    <t>YES (results)</t>
  </si>
  <si>
    <t>NO (results)</t>
  </si>
  <si>
    <t>P/L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</si>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</sst>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\+0.0;\-0.0"/>
    <numFmt numFmtId="166" formatCode="0.0000"/>
    <numFmt numFmtId="169" formatCode="0.00000"/>
    <numFmt numFmtId="170" formatCode="0.0"/>
    <numFmt numFmtId="171" formatCode="\$#,##0.00"/>
    <numFmt numFmtId="174" formatCode="0.0%"/>
  </numFmts>
  <fonts count="19" x14ac:knownFonts="1">
    <font>
      <sz val="11"/>
      <color theme="1"/>
      <name val="Calibri"/>
      <family val="2"/>
      <scheme val="minor"/>
    </font>
    <font>
      <b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i/>
      <sz val="10"/>
      <color rgb="FF595959"/>
      <name val="Arial"/>
      <family val="2"/>
    </font>
    <font>
      <i/>
      <sz val="10"/>
      <color rgb="FFFF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006100"/>
      <name val="Arial"/>
      <family val="2"/>
    </font>
    <font>
      <i/>
      <sz val="9"/>
      <color rgb="FF0000FF"/>
      <name val="Arial"/>
      <family val="2"/>
    </font>
    <font>
      <b/>
      <sz val="11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rgb="FF1F3764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0" fontId="6" fillId="3" borderId="0" xfId="0" applyFont="1" applyFill="1"/>
    <xf numFmtId="0" fontId="0" fillId="3" borderId="0" xfId="0" applyFill="1"/>
    <xf numFmtId="2" fontId="7" fillId="0" borderId="0" xfId="0" applyNumberFormat="1" applyFont="1"/>
    <xf numFmtId="0" fontId="8" fillId="0" borderId="0" xfId="0" applyFont="1"/>
    <xf numFmtId="164" fontId="7" fillId="0" borderId="0" xfId="0" applyNumberFormat="1" applyFont="1"/>
    <xf numFmtId="164" fontId="5" fillId="0" borderId="0" xfId="0" applyNumberFormat="1" applyFont="1"/>
    <xf numFmtId="166" fontId="3" fillId="0" borderId="0" xfId="0" applyNumberFormat="1" applyFont="1"/>
    <xf numFmtId="1" fontId="0" fillId="0" borderId="0" xfId="0" applyNumberFormat="1"/>
    <xf numFmtId="0" fontId="1" fillId="0" borderId="0" xfId="0" applyFont="1"/>
    <xf numFmtId="1" fontId="5" fillId="0" borderId="0" xfId="0" applyNumberFormat="1" applyFont="1"/>
    <xf numFmtId="166" fontId="0" fillId="0" borderId="0" xfId="0" applyNumberFormat="1"/>
    <xf numFmtId="166" fontId="13" fillId="0" borderId="0" xfId="0" applyNumberFormat="1" applyFont="1"/>
    <xf numFmtId="165" fontId="5" fillId="4" borderId="0" xfId="0" applyNumberFormat="1" applyFont="1" applyFill="1"/>
    <xf numFmtId="2" fontId="5" fillId="4" borderId="0" xfId="0" applyNumberFormat="1" applyFont="1" applyFill="1"/>
    <xf numFmtId="166" fontId="5" fillId="0" borderId="0" xfId="0" applyNumberFormat="1" applyFont="1"/>
    <xf numFmtId="2" fontId="5" fillId="5" borderId="0" xfId="0" applyNumberFormat="1" applyFont="1" applyFill="1"/>
    <xf numFmtId="0" fontId="9" fillId="0" borderId="0" xfId="0" applyFont="1"/>
    <xf numFmtId="164" fontId="0" fillId="0" borderId="0" xfId="0" applyNumberFormat="1"/>
    <xf numFmtId="0" fontId="10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49" fontId="5" fillId="4" borderId="1" xfId="0" applyNumberFormat="1" applyFont="1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164" fontId="11" fillId="6" borderId="1" xfId="0" applyNumberFormat="1" applyFont="1" applyFill="1" applyBorder="1"/>
    <xf numFmtId="169" fontId="11" fillId="6" borderId="1" xfId="0" applyNumberFormat="1" applyFont="1" applyFill="1" applyBorder="1"/>
    <xf numFmtId="1" fontId="3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64" fontId="3" fillId="0" borderId="0" xfId="0" applyNumberFormat="1" applyFont="1"/>
    <xf numFmtId="166" fontId="4" fillId="0" borderId="0" xfId="0" applyNumberFormat="1" applyFont="1"/>
    <xf numFmtId="164" fontId="6" fillId="0" borderId="0" xfId="0" applyNumberFormat="1" applyFont="1"/>
    <xf numFmtId="10" fontId="4" fillId="0" borderId="0" xfId="0" applyNumberFormat="1" applyFont="1"/>
    <xf numFmtId="170" fontId="5" fillId="4" borderId="0" xfId="0" applyNumberFormat="1" applyFont="1" applyFill="1"/>
    <xf numFmtId="3" fontId="5" fillId="4" borderId="0" xfId="0" applyNumberFormat="1" applyFont="1" applyFill="1"/>
    <xf numFmtId="171" fontId="5" fillId="4" borderId="0" xfId="0" applyNumberFormat="1" applyFont="1" applyFill="1"/>
    <xf numFmtId="174" fontId="4" fillId="0" borderId="0" xfId="0" applyNumberFormat="1" applyFont="1"/>
    <xf numFmtId="171" fontId="4" fillId="0" borderId="0" xfId="0" applyNumberFormat="1" applyFont="1"/>
    <xf numFmtId="0" fontId="10" fillId="2" borderId="0" xfId="0" applyFont="1" applyFill="1"/>
    <xf numFmtId="2" fontId="0" fillId="0" borderId="0" xfId="0" applyNumberFormat="1"/>
    <xf numFmtId="174" fontId="0" fillId="0" borderId="0" xfId="0" applyNumberFormat="1"/>
    <xf numFmtId="0" fontId="6" fillId="0" borderId="0" xfId="0" applyFont="1"/>
    <xf numFmtId="164" fontId="5" fillId="4" borderId="0" xfId="0" applyNumberFormat="1" applyFont="1" applyFill="1"/>
    <xf numFmtId="3" fontId="4" fillId="0" borderId="0" xfId="0" applyNumberFormat="1" applyFont="1"/>
    <xf numFmtId="171" fontId="12" fillId="0" borderId="0" xfId="0" applyNumberFormat="1" applyFont="1"/>
    <xf numFmtId="0" fontId="10" fillId="2" borderId="1" xfId="0" applyFont="1" applyFill="1" applyBorder="1" applyAlignment="1">
      <alignment horizontal="center" wrapText="1"/>
    </xf>
    <xf numFmtId="170" fontId="5" fillId="4" borderId="1" xfId="0" applyNumberFormat="1" applyFont="1" applyFill="1" applyBorder="1"/>
    <xf numFmtId="3" fontId="5" fillId="4" borderId="1" xfId="0" applyNumberFormat="1" applyFont="1" applyFill="1" applyBorder="1"/>
    <xf numFmtId="1" fontId="11" fillId="0" borderId="1" xfId="0" applyNumberFormat="1" applyFont="1" applyBorder="1"/>
    <xf numFmtId="166" fontId="11" fillId="0" borderId="1" xfId="0" applyNumberFormat="1" applyFont="1" applyBorder="1"/>
    <xf numFmtId="2" fontId="11" fillId="0" borderId="1" xfId="0" applyNumberFormat="1" applyFont="1" applyBorder="1"/>
    <xf numFmtId="0" fontId="15" fillId="0" borderId="0" xfId="0" applyFont="1"/>
    <xf numFmtId="0" fontId="11" fillId="0" borderId="1" xfId="0" applyFont="1" applyBorder="1"/>
    <xf numFmtId="166" fontId="5" fillId="4" borderId="1" xfId="0" applyNumberFormat="1" applyFont="1" applyFill="1" applyBorder="1"/>
    <xf numFmtId="166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0" fontId="14" fillId="0" borderId="0" xfId="0" applyFont="1"/>
    <xf numFmtId="10" fontId="16" fillId="0" borderId="0" xfId="0" applyNumberFormat="1" applyFont="1"/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8" fillId="0" borderId="0" xfId="0" applyFont="1" applyFill="1"/>
    <xf numFmtId="0" fontId="17" fillId="7" borderId="0" xfId="0" applyFont="1" applyFill="1"/>
    <xf numFmtId="0" fontId="18" fillId="7" borderId="0" xfId="0" applyFont="1" applyFill="1"/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mruColors>
      <color rgb="FF1F3764"/>
      <color rgb="FFFF4846"/>
      <color rgb="FFFF91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5"/>
  <sheetViews>
    <sheetView showGridLines="0" tabSelected="1" topLeftCell="A84" zoomScale="164" workbookViewId="0">
      <selection activeCell="B86" sqref="B86"/>
    </sheetView>
  </sheetViews>
  <sheetFormatPr baseColWidth="10" defaultColWidth="8.83203125" defaultRowHeight="15" x14ac:dyDescent="0.2"/>
  <cols>
    <col min="1" max="1" width="41.33203125" bestFit="1" customWidth="1"/>
    <col min="2" max="2" width="15.5" bestFit="1" customWidth="1"/>
    <col min="3" max="3" width="16.83203125" bestFit="1" customWidth="1"/>
    <col min="4" max="4" width="44.1640625" bestFit="1" customWidth="1"/>
    <col min="5" max="5" width="42.1640625" bestFit="1" customWidth="1"/>
    <col min="6" max="6" width="26.5" bestFit="1" customWidth="1"/>
    <col min="7" max="7" width="16.83203125" bestFit="1" customWidth="1"/>
    <col min="8" max="8" width="22.6640625" customWidth="1"/>
    <col min="9" max="9" width="17.5" customWidth="1"/>
    <col min="10" max="10" width="8.83203125" bestFit="1" customWidth="1"/>
    <col min="11" max="11" width="22.1640625" bestFit="1" customWidth="1"/>
    <col min="12" max="12" width="9.33203125" bestFit="1" customWidth="1"/>
    <col min="13" max="13" width="8.5" bestFit="1" customWidth="1"/>
    <col min="14" max="14" width="9.33203125" bestFit="1" customWidth="1"/>
    <col min="15" max="15" width="7.5" bestFit="1" customWidth="1"/>
    <col min="16" max="16" width="9.33203125" bestFit="1" customWidth="1"/>
    <col min="17" max="17" width="7.5" bestFit="1" customWidth="1"/>
    <col min="18" max="18" width="7.6640625" bestFit="1" customWidth="1"/>
    <col min="19" max="19" width="7.83203125" bestFit="1" customWidth="1"/>
    <col min="20" max="20" width="6.83203125" bestFit="1" customWidth="1"/>
    <col min="21" max="21" width="8.83203125" bestFit="1" customWidth="1"/>
    <col min="22" max="22" width="8.1640625" bestFit="1" customWidth="1"/>
    <col min="23" max="23" width="7.33203125" bestFit="1" customWidth="1"/>
    <col min="24" max="24" width="7.1640625" bestFit="1" customWidth="1"/>
    <col min="25" max="25" width="7.83203125" bestFit="1" customWidth="1"/>
    <col min="26" max="26" width="2.5" bestFit="1" customWidth="1"/>
    <col min="27" max="27" width="8.5" bestFit="1" customWidth="1"/>
    <col min="28" max="28" width="7.1640625" bestFit="1" customWidth="1"/>
  </cols>
  <sheetData>
    <row r="1" spans="1:15" ht="18" x14ac:dyDescent="0.2">
      <c r="A1" s="64" t="s">
        <v>164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x14ac:dyDescent="0.2">
      <c r="A2" s="3" t="s">
        <v>0</v>
      </c>
      <c r="B2" s="4"/>
      <c r="C2" s="4"/>
      <c r="D2" s="4"/>
      <c r="E2" s="3" t="s">
        <v>177</v>
      </c>
      <c r="F2" s="4"/>
      <c r="G2" s="4"/>
      <c r="H2" s="4"/>
      <c r="I2" s="4"/>
      <c r="K2" t="s">
        <v>181</v>
      </c>
    </row>
    <row r="3" spans="1:15" x14ac:dyDescent="0.2">
      <c r="A3" s="2" t="s">
        <v>1</v>
      </c>
      <c r="C3" s="5">
        <v>1.18</v>
      </c>
      <c r="D3" s="6" t="s">
        <v>2</v>
      </c>
      <c r="E3" s="11" t="s">
        <v>10</v>
      </c>
      <c r="G3" s="11" t="s">
        <v>11</v>
      </c>
      <c r="H3" s="11" t="s">
        <v>12</v>
      </c>
      <c r="I3" s="11" t="s">
        <v>13</v>
      </c>
      <c r="K3" s="11" t="s">
        <v>182</v>
      </c>
    </row>
    <row r="4" spans="1:15" x14ac:dyDescent="0.2">
      <c r="A4" s="2" t="s">
        <v>3</v>
      </c>
      <c r="C4" s="7">
        <v>1.1850000000000001</v>
      </c>
      <c r="D4" s="6" t="s">
        <v>4</v>
      </c>
      <c r="E4" s="12">
        <v>2</v>
      </c>
      <c r="G4" s="13">
        <f>IFERROR(INDEX(LINEST($B$102:$B$118,$E$102:$F$118),3,2),$H$4)</f>
        <v>7.3800000000000004E-2</v>
      </c>
      <c r="H4" s="14">
        <v>7.3800000000000004E-2</v>
      </c>
      <c r="I4" s="9">
        <f>IFERROR(SQRT(($C$6*$G$4)^2+$C$7^2),"")</f>
        <v>6.8763395188953094E-2</v>
      </c>
      <c r="K4" t="s">
        <v>183</v>
      </c>
    </row>
    <row r="5" spans="1:15" x14ac:dyDescent="0.2">
      <c r="A5" s="2" t="s">
        <v>5</v>
      </c>
      <c r="C5" s="9">
        <f>INTERCEPT($C$102:$C$118,$B$102:$B$118)</f>
        <v>0.62637622775837498</v>
      </c>
      <c r="D5" s="6" t="s">
        <v>175</v>
      </c>
      <c r="E5" s="12">
        <v>10</v>
      </c>
      <c r="G5" s="13">
        <f>IFERROR(INDEX(LINEST($B$102:$B$118,$I$102:$J$118),3,2),$H$5)</f>
        <v>5.3499999999999999E-2</v>
      </c>
      <c r="H5" s="14">
        <v>5.3499999999999999E-2</v>
      </c>
      <c r="I5" s="9">
        <f>IFERROR(SQRT(($C$6*$G$5)^2+$C$7^2),"")</f>
        <v>5.4939087456850527E-2</v>
      </c>
      <c r="K5" t="s">
        <v>184</v>
      </c>
    </row>
    <row r="6" spans="1:15" x14ac:dyDescent="0.2">
      <c r="A6" s="2" t="s">
        <v>6</v>
      </c>
      <c r="C6" s="9">
        <f>SLOPE($C$102:$C$118,$B$102:$B$118)</f>
        <v>0.81348337818980931</v>
      </c>
      <c r="D6" s="6"/>
      <c r="E6" s="12">
        <v>15</v>
      </c>
      <c r="G6" s="13">
        <f>IFERROR(INDEX(LINEST($B$102:$B$118,$K$102:$L$118),3,2),$H$6)</f>
        <v>3.8699999999999998E-2</v>
      </c>
      <c r="H6" s="14">
        <v>3.8699999999999998E-2</v>
      </c>
      <c r="I6" s="9">
        <f>IFERROR(SQRT(($C$6*$G$6)^2+$C$7^2),"")</f>
        <v>4.5992375953906907E-2</v>
      </c>
    </row>
    <row r="7" spans="1:15" x14ac:dyDescent="0.2">
      <c r="A7" s="2" t="s">
        <v>7</v>
      </c>
      <c r="C7" s="9">
        <f>STEYX($C$102:$C$118,$B$102:$B$118)</f>
        <v>3.3529009686032826E-2</v>
      </c>
      <c r="D7" s="6"/>
      <c r="E7" s="12">
        <v>20</v>
      </c>
      <c r="G7" s="13">
        <f>IFERROR(INDEX(LINEST($B$102:$B$118,$M$102:$N$118),3,2),$H$7)</f>
        <v>2.7099999999999999E-2</v>
      </c>
      <c r="H7" s="14">
        <v>2.7099999999999999E-2</v>
      </c>
      <c r="I7" s="9">
        <f>IFERROR(SQRT(($C$6*$G$7)^2+$C$7^2),"")</f>
        <v>4.0127224322131429E-2</v>
      </c>
    </row>
    <row r="8" spans="1:15" x14ac:dyDescent="0.2">
      <c r="A8" s="2" t="s">
        <v>8</v>
      </c>
      <c r="C8" s="10">
        <f>COUNT($B$102:$B$118)</f>
        <v>17</v>
      </c>
      <c r="E8" s="12">
        <v>25</v>
      </c>
      <c r="G8" s="13">
        <f>IFERROR(INDEX(LINEST($B$102:$B$118,$O$104:$P$118),3,2),$H$8)</f>
        <v>1.52E-2</v>
      </c>
      <c r="H8" s="14">
        <v>1.52E-2</v>
      </c>
      <c r="I8" s="9">
        <f>IFERROR(SQRT(($C$6*$G$8)^2+$C$7^2),"")</f>
        <v>3.5736345832455947E-2</v>
      </c>
    </row>
    <row r="9" spans="1:15" x14ac:dyDescent="0.2">
      <c r="A9" s="2" t="s">
        <v>9</v>
      </c>
      <c r="C9" s="9">
        <f>($C$4-$C$5)/$C$6</f>
        <v>0.68670582241605671</v>
      </c>
      <c r="E9" s="12">
        <v>30</v>
      </c>
      <c r="G9" s="13">
        <v>0</v>
      </c>
      <c r="H9" s="14">
        <v>0</v>
      </c>
      <c r="I9" s="9">
        <f>IFERROR(SQRT(($C$6*$G$9)^2+$C$7^2),"")</f>
        <v>3.3529009686032826E-2</v>
      </c>
    </row>
    <row r="10" spans="1:15" x14ac:dyDescent="0.2">
      <c r="A10" s="3" t="s">
        <v>14</v>
      </c>
      <c r="B10" s="4"/>
      <c r="C10" s="4"/>
      <c r="D10" s="4"/>
      <c r="E10" s="4"/>
      <c r="F10" s="4"/>
      <c r="G10" s="4"/>
      <c r="H10" s="4"/>
      <c r="I10" s="4"/>
    </row>
    <row r="11" spans="1:15" x14ac:dyDescent="0.2">
      <c r="A11" s="2" t="s">
        <v>15</v>
      </c>
      <c r="C11" s="15">
        <v>1</v>
      </c>
      <c r="D11" s="6" t="s">
        <v>16</v>
      </c>
    </row>
    <row r="12" spans="1:15" x14ac:dyDescent="0.2">
      <c r="A12" s="2" t="s">
        <v>17</v>
      </c>
      <c r="C12" s="16">
        <v>1.24</v>
      </c>
      <c r="D12" s="6" t="s">
        <v>174</v>
      </c>
    </row>
    <row r="13" spans="1:15" x14ac:dyDescent="0.2">
      <c r="A13" s="2" t="s">
        <v>18</v>
      </c>
      <c r="C13" s="8">
        <v>1.2350000000000001</v>
      </c>
      <c r="D13" s="6" t="s">
        <v>19</v>
      </c>
    </row>
    <row r="14" spans="1:15" x14ac:dyDescent="0.2">
      <c r="A14" s="2" t="s">
        <v>20</v>
      </c>
      <c r="C14" s="17">
        <v>0.58389999999999997</v>
      </c>
      <c r="D14" s="17">
        <v>0.94820000000000004</v>
      </c>
      <c r="F14" s="17">
        <v>4.7399999999999998E-2</v>
      </c>
      <c r="H14" s="6" t="s">
        <v>21</v>
      </c>
    </row>
    <row r="15" spans="1:15" x14ac:dyDescent="0.2">
      <c r="A15" s="2"/>
      <c r="C15" s="18"/>
      <c r="D15" s="19"/>
    </row>
    <row r="16" spans="1:15" x14ac:dyDescent="0.2">
      <c r="A16" s="2" t="s">
        <v>22</v>
      </c>
      <c r="C16" s="16">
        <v>0.6</v>
      </c>
      <c r="D16" s="6" t="s">
        <v>172</v>
      </c>
    </row>
    <row r="17" spans="1:28" x14ac:dyDescent="0.2">
      <c r="A17" s="2" t="s">
        <v>23</v>
      </c>
      <c r="C17" s="20">
        <f>AVERAGE($B$114:$B$118)</f>
        <v>0.44097999999999998</v>
      </c>
      <c r="D17" s="6" t="s">
        <v>173</v>
      </c>
    </row>
    <row r="18" spans="1:28" x14ac:dyDescent="0.2">
      <c r="A18" s="66" t="s">
        <v>171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 spans="1:28" ht="53" x14ac:dyDescent="0.2">
      <c r="A19" s="21" t="s">
        <v>24</v>
      </c>
      <c r="B19" s="21" t="s">
        <v>25</v>
      </c>
      <c r="C19" s="21" t="s">
        <v>26</v>
      </c>
      <c r="D19" s="21" t="s">
        <v>27</v>
      </c>
      <c r="E19" s="47" t="s">
        <v>95</v>
      </c>
      <c r="F19" s="47" t="s">
        <v>179</v>
      </c>
      <c r="G19" s="21" t="s">
        <v>176</v>
      </c>
      <c r="H19" s="21" t="s">
        <v>28</v>
      </c>
      <c r="I19" s="21" t="s">
        <v>29</v>
      </c>
      <c r="J19" s="21" t="s">
        <v>30</v>
      </c>
      <c r="K19" s="21" t="s">
        <v>31</v>
      </c>
      <c r="L19" s="21" t="s">
        <v>32</v>
      </c>
      <c r="M19" s="21" t="s">
        <v>33</v>
      </c>
      <c r="N19" s="21" t="s">
        <v>34</v>
      </c>
      <c r="O19" s="21" t="s">
        <v>35</v>
      </c>
      <c r="P19" s="21" t="s">
        <v>36</v>
      </c>
      <c r="Q19" s="21" t="s">
        <v>37</v>
      </c>
      <c r="R19" s="21" t="s">
        <v>38</v>
      </c>
      <c r="S19" s="21" t="s">
        <v>39</v>
      </c>
      <c r="T19" s="21" t="s">
        <v>40</v>
      </c>
      <c r="U19" s="47" t="s">
        <v>165</v>
      </c>
      <c r="V19" s="47" t="s">
        <v>167</v>
      </c>
      <c r="W19" s="47" t="s">
        <v>156</v>
      </c>
      <c r="X19" s="47" t="s">
        <v>157</v>
      </c>
      <c r="Y19" s="47" t="s">
        <v>158</v>
      </c>
      <c r="Z19" s="47"/>
      <c r="AA19" s="47" t="s">
        <v>159</v>
      </c>
      <c r="AB19" s="47" t="s">
        <v>160</v>
      </c>
    </row>
    <row r="20" spans="1:28" x14ac:dyDescent="0.2">
      <c r="A20" s="23" t="s">
        <v>96</v>
      </c>
      <c r="B20" s="22">
        <v>0.53600000000000003</v>
      </c>
      <c r="C20" s="22">
        <v>0.66249999999999998</v>
      </c>
      <c r="D20" s="24"/>
      <c r="E20" s="48">
        <v>10</v>
      </c>
      <c r="F20" s="49">
        <v>51</v>
      </c>
      <c r="G20" s="24"/>
      <c r="H20" s="25">
        <f>IF(ISNUMBER($B20),$B20,IF(ISNUMBER($C20),$C20,""))</f>
        <v>0.53600000000000003</v>
      </c>
      <c r="I20" s="25">
        <f>IF(COUNT($B$20:$B20)=0,"",AVERAGE($B$20:$B20))</f>
        <v>0.53600000000000003</v>
      </c>
      <c r="J20" s="25">
        <f>IF(AND(ISNUMBER($B20),ISNUMBER($C20)),$B20-$C20,"")</f>
        <v>-0.12649999999999995</v>
      </c>
      <c r="K20" s="25" t="str">
        <f>IF(AND(ISNUMBER($B20),ISNUMBER(#REF!)),$B20-#REF!,"")</f>
        <v/>
      </c>
      <c r="L20" s="25" t="str">
        <f>IF(AND(ISNUMBER($B20),ISNUMBER(#REF!)),$B20-#REF!,"")</f>
        <v/>
      </c>
      <c r="M20" s="26">
        <f>IF(ISNUMBER($J20),ABS($J20),"")</f>
        <v>0.12649999999999995</v>
      </c>
      <c r="N20" s="27">
        <f>IF(ISNUMBER($J20),$J20^2,"")</f>
        <v>1.6002249999999985E-2</v>
      </c>
      <c r="O20" s="26" t="str">
        <f>IF(ISNUMBER($K20),ABS($K20),"")</f>
        <v/>
      </c>
      <c r="P20" s="27" t="str">
        <f>IF(ISNUMBER($K20),$K20^2,"")</f>
        <v/>
      </c>
      <c r="Q20" s="26" t="str">
        <f>IF(ISNUMBER($L20),ABS($L20),"")</f>
        <v/>
      </c>
      <c r="R20" s="27" t="str">
        <f>IF(ISNUMBER($L20),$L20^2,"")</f>
        <v/>
      </c>
      <c r="S20" s="27">
        <f>IF(ISNUMBER($B20),($B20-$C$17)^2,"")</f>
        <v>9.0288004000000088E-3</v>
      </c>
      <c r="T20" s="26" t="str">
        <f>IF(AND($B20="",ISNUMBER($D20)),$D20,"")</f>
        <v/>
      </c>
      <c r="U20" s="54">
        <v>1</v>
      </c>
      <c r="V20" s="55">
        <v>0.55930000000000002</v>
      </c>
      <c r="W20" s="25">
        <f>IF(ISNUMBER($V20),Jun_2026!$C$5+Jun_2026!$C$6*$V20,"")</f>
        <v>1.0813574811799354</v>
      </c>
      <c r="X20" s="56">
        <f>IF(ISNUMBER($V20),IFERROR(SQRT((Jun_2026!$C$6*Jun_2026!$C$74)^2+Jun_2026!$C$7^2),""),"")</f>
        <v>3.3529009686032826E-2</v>
      </c>
      <c r="Y20" s="57">
        <f>IF(OR($W20="",$X20="",$X20=0),"",1-NORMSDIST((Jun_2026!$C$4-$W20)/$X20))</f>
        <v>9.9698246339074981E-4</v>
      </c>
      <c r="Z20" s="58">
        <f>IF(ISNUMBER($V20),IF($V20&gt;=Jun_2026!$C$9,1,0),"")</f>
        <v>0</v>
      </c>
      <c r="AA20" s="25">
        <f>IF(ISNUMBER($V20),Jun_2026!$C$14+Jun_2026!$D$14*$V20,"")</f>
        <v>1.11422826</v>
      </c>
      <c r="AB20" s="57">
        <f>IFERROR(IF(OR($AA20="",Jun_2026!$C$74=""),"",1-NORMSDIST((Jun_2026!$C$13-$AA20)/SQRT((Jun_2026!$D$14*Jun_2026!$C$74)^2+Jun_2026!$F$14^2))),"")</f>
        <v>5.4182571598991869E-3</v>
      </c>
    </row>
    <row r="21" spans="1:28" x14ac:dyDescent="0.2">
      <c r="A21" s="23" t="s">
        <v>97</v>
      </c>
      <c r="B21" s="22">
        <v>0.56699999999999995</v>
      </c>
      <c r="C21" s="22">
        <v>0.74539999999999995</v>
      </c>
      <c r="D21" s="24"/>
      <c r="E21" s="48">
        <v>10</v>
      </c>
      <c r="F21" s="49">
        <v>10</v>
      </c>
      <c r="G21" s="24"/>
      <c r="H21" s="25">
        <f>IF(ISNUMBER($B21),$B21,IF(ISNUMBER($C21),$C21,""))</f>
        <v>0.56699999999999995</v>
      </c>
      <c r="I21" s="25">
        <f>IF(COUNT($B$20:$B21)=0,"",AVERAGE($B$20:$B21))</f>
        <v>0.55149999999999999</v>
      </c>
      <c r="J21" s="25">
        <f>IF(AND(ISNUMBER($B21),ISNUMBER($C21)),$B21-$C21,"")</f>
        <v>-0.1784</v>
      </c>
      <c r="K21" s="25" t="str">
        <f>IF(AND(ISNUMBER($B21),ISNUMBER(#REF!)),$B21-#REF!,"")</f>
        <v/>
      </c>
      <c r="L21" s="25" t="str">
        <f>IF(AND(ISNUMBER($B21),ISNUMBER(#REF!)),$B21-#REF!,"")</f>
        <v/>
      </c>
      <c r="M21" s="26">
        <f>IF(ISNUMBER($J21),ABS($J21),"")</f>
        <v>0.1784</v>
      </c>
      <c r="N21" s="27">
        <f>IF(ISNUMBER($J21),$J21^2,"")</f>
        <v>3.1826560000000004E-2</v>
      </c>
      <c r="O21" s="26" t="str">
        <f>IF(ISNUMBER($K21),ABS($K21),"")</f>
        <v/>
      </c>
      <c r="P21" s="27" t="str">
        <f>IF(ISNUMBER($K21),$K21^2,"")</f>
        <v/>
      </c>
      <c r="Q21" s="26" t="str">
        <f>IF(ISNUMBER($L21),ABS($L21),"")</f>
        <v/>
      </c>
      <c r="R21" s="27" t="str">
        <f>IF(ISNUMBER($L21),$L21^2,"")</f>
        <v/>
      </c>
      <c r="S21" s="27">
        <f>IF(ISNUMBER($B21),($B21-$C$17)^2,"")</f>
        <v>1.5881040399999991E-2</v>
      </c>
      <c r="T21" s="26" t="str">
        <f>IF(AND($B21="",ISNUMBER($D21)),$D21,"")</f>
        <v/>
      </c>
      <c r="U21" s="54">
        <v>2</v>
      </c>
      <c r="V21" s="55">
        <v>0.55930000000000002</v>
      </c>
      <c r="W21" s="25">
        <f>IF(ISNUMBER($V21),Jun_2026!$C$5+Jun_2026!$C$6*$V21,"")</f>
        <v>1.0813574811799354</v>
      </c>
      <c r="X21" s="56">
        <f>IF(ISNUMBER($V21),IFERROR(SQRT((Jun_2026!$C$6*Jun_2026!$C$74)^2+Jun_2026!$C$7^2),""),"")</f>
        <v>3.3529009686032826E-2</v>
      </c>
      <c r="Y21" s="57">
        <f>IF(OR($W21="",$X21="",$X21=0),"",1-NORMSDIST((Jun_2026!$C$4-$W21)/$X21))</f>
        <v>9.9698246339074981E-4</v>
      </c>
      <c r="Z21" s="58">
        <f>IF(ISNUMBER($V21),IF($V21&gt;=Jun_2026!$C$9,1,0),"")</f>
        <v>0</v>
      </c>
      <c r="AA21" s="25">
        <f>IF(ISNUMBER($V21),Jun_2026!$C$14+Jun_2026!$D$14*$V21,"")</f>
        <v>1.11422826</v>
      </c>
      <c r="AB21" s="57">
        <f>IFERROR(IF(OR($AA21="",Jun_2026!$C$74=""),"",1-NORMSDIST((Jun_2026!$C$13-$AA21)/SQRT((Jun_2026!$D$14*Jun_2026!$C$74)^2+Jun_2026!$F$14^2))),"")</f>
        <v>5.4182571598991869E-3</v>
      </c>
    </row>
    <row r="22" spans="1:28" x14ac:dyDescent="0.2">
      <c r="A22" s="23" t="s">
        <v>98</v>
      </c>
      <c r="B22" s="22">
        <v>0.60799999999999998</v>
      </c>
      <c r="C22" s="22">
        <v>0.68700000000000006</v>
      </c>
      <c r="D22" s="24"/>
      <c r="E22" s="48">
        <v>28</v>
      </c>
      <c r="F22" s="49">
        <v>1003.06</v>
      </c>
      <c r="G22" s="24"/>
      <c r="H22" s="25">
        <f>IF(ISNUMBER($B22),$B22,IF(ISNUMBER($C22),$C22,""))</f>
        <v>0.60799999999999998</v>
      </c>
      <c r="I22" s="25">
        <f>IF(COUNT($B$20:$B22)=0,"",AVERAGE($B$20:$B22))</f>
        <v>0.57033333333333325</v>
      </c>
      <c r="J22" s="25">
        <f>IF(AND(ISNUMBER($B22),ISNUMBER($C22)),$B22-$C22,"")</f>
        <v>-7.900000000000007E-2</v>
      </c>
      <c r="K22" s="25" t="str">
        <f>IF(AND(ISNUMBER($B22),ISNUMBER(#REF!)),$B22-#REF!,"")</f>
        <v/>
      </c>
      <c r="L22" s="25" t="str">
        <f>IF(AND(ISNUMBER($B22),ISNUMBER(#REF!)),$B22-#REF!,"")</f>
        <v/>
      </c>
      <c r="M22" s="26">
        <f>IF(ISNUMBER($J22),ABS($J22),"")</f>
        <v>7.900000000000007E-2</v>
      </c>
      <c r="N22" s="27">
        <f>IF(ISNUMBER($J22),$J22^2,"")</f>
        <v>6.2410000000000113E-3</v>
      </c>
      <c r="O22" s="26" t="str">
        <f>IF(ISNUMBER($K22),ABS($K22),"")</f>
        <v/>
      </c>
      <c r="P22" s="27" t="str">
        <f>IF(ISNUMBER($K22),$K22^2,"")</f>
        <v/>
      </c>
      <c r="Q22" s="26" t="str">
        <f>IF(ISNUMBER($L22),ABS($L22),"")</f>
        <v/>
      </c>
      <c r="R22" s="27" t="str">
        <f>IF(ISNUMBER($L22),$L22^2,"")</f>
        <v/>
      </c>
      <c r="S22" s="27">
        <f>IF(ISNUMBER($B22),($B22-$C$17)^2,"")</f>
        <v>2.7895680400000001E-2</v>
      </c>
      <c r="T22" s="26" t="str">
        <f>IF(AND($B22="",ISNUMBER($D22)),$D22,"")</f>
        <v/>
      </c>
      <c r="U22" s="54">
        <v>3</v>
      </c>
      <c r="V22" s="55">
        <v>0.55930000000000002</v>
      </c>
      <c r="W22" s="25">
        <f>IF(ISNUMBER($V22),Jun_2026!$C$5+Jun_2026!$C$6*$V22,"")</f>
        <v>1.0813574811799354</v>
      </c>
      <c r="X22" s="56">
        <f>IF(ISNUMBER($V22),IFERROR(SQRT((Jun_2026!$C$6*Jun_2026!$C$74)^2+Jun_2026!$C$7^2),""),"")</f>
        <v>3.3529009686032826E-2</v>
      </c>
      <c r="Y22" s="57">
        <f>IF(OR($W22="",$X22="",$X22=0),"",1-NORMSDIST((Jun_2026!$C$4-$W22)/$X22))</f>
        <v>9.9698246339074981E-4</v>
      </c>
      <c r="Z22" s="58">
        <f>IF(ISNUMBER($V22),IF($V22&gt;=Jun_2026!$C$9,1,0),"")</f>
        <v>0</v>
      </c>
      <c r="AA22" s="25">
        <f>IF(ISNUMBER($V22),Jun_2026!$C$14+Jun_2026!$D$14*$V22,"")</f>
        <v>1.11422826</v>
      </c>
      <c r="AB22" s="57">
        <f>IFERROR(IF(OR($AA22="",Jun_2026!$C$74=""),"",1-NORMSDIST((Jun_2026!$C$13-$AA22)/SQRT((Jun_2026!$D$14*Jun_2026!$C$74)^2+Jun_2026!$F$14^2))),"")</f>
        <v>5.4182571598991869E-3</v>
      </c>
    </row>
    <row r="23" spans="1:28" x14ac:dyDescent="0.2">
      <c r="A23" s="23" t="s">
        <v>99</v>
      </c>
      <c r="B23" s="22">
        <v>0.61099999999999999</v>
      </c>
      <c r="C23" s="22">
        <v>0.58740000000000003</v>
      </c>
      <c r="D23" s="24"/>
      <c r="E23" s="48">
        <v>21</v>
      </c>
      <c r="F23" s="49">
        <v>285.61</v>
      </c>
      <c r="G23" s="24"/>
      <c r="H23" s="25">
        <f>IF(ISNUMBER($B23),$B23,IF(ISNUMBER($C23),$C23,""))</f>
        <v>0.61099999999999999</v>
      </c>
      <c r="I23" s="25">
        <f>IF(COUNT($B$20:$B23)=0,"",AVERAGE($B$20:$B23))</f>
        <v>0.58050000000000002</v>
      </c>
      <c r="J23" s="25">
        <f>IF(AND(ISNUMBER($B23),ISNUMBER($C23)),$B23-$C23,"")</f>
        <v>2.3599999999999954E-2</v>
      </c>
      <c r="K23" s="25" t="str">
        <f>IF(AND(ISNUMBER($B23),ISNUMBER(#REF!)),$B23-#REF!,"")</f>
        <v/>
      </c>
      <c r="L23" s="25" t="str">
        <f>IF(AND(ISNUMBER($B23),ISNUMBER(#REF!)),$B23-#REF!,"")</f>
        <v/>
      </c>
      <c r="M23" s="26">
        <f>IF(ISNUMBER($J23),ABS($J23),"")</f>
        <v>2.3599999999999954E-2</v>
      </c>
      <c r="N23" s="27">
        <f>IF(ISNUMBER($J23),$J23^2,"")</f>
        <v>5.5695999999999784E-4</v>
      </c>
      <c r="O23" s="26" t="str">
        <f>IF(ISNUMBER($K23),ABS($K23),"")</f>
        <v/>
      </c>
      <c r="P23" s="27" t="str">
        <f>IF(ISNUMBER($K23),$K23^2,"")</f>
        <v/>
      </c>
      <c r="Q23" s="26" t="str">
        <f>IF(ISNUMBER($L23),ABS($L23),"")</f>
        <v/>
      </c>
      <c r="R23" s="27" t="str">
        <f>IF(ISNUMBER($L23),$L23^2,"")</f>
        <v/>
      </c>
      <c r="S23" s="27">
        <f>IF(ISNUMBER($B23),($B23-$C$17)^2,"")</f>
        <v>2.8906800400000002E-2</v>
      </c>
      <c r="T23" s="26" t="str">
        <f>IF(AND($B23="",ISNUMBER($D23)),$D23,"")</f>
        <v/>
      </c>
      <c r="U23" s="54">
        <v>4</v>
      </c>
      <c r="V23" s="55">
        <v>0.55930000000000002</v>
      </c>
      <c r="W23" s="25">
        <f>IF(ISNUMBER($V23),Jun_2026!$C$5+Jun_2026!$C$6*$V23,"")</f>
        <v>1.0813574811799354</v>
      </c>
      <c r="X23" s="56">
        <f>IF(ISNUMBER($V23),IFERROR(SQRT((Jun_2026!$C$6*Jun_2026!$C$74)^2+Jun_2026!$C$7^2),""),"")</f>
        <v>3.3529009686032826E-2</v>
      </c>
      <c r="Y23" s="57">
        <f>IF(OR($W23="",$X23="",$X23=0),"",1-NORMSDIST((Jun_2026!$C$4-$W23)/$X23))</f>
        <v>9.9698246339074981E-4</v>
      </c>
      <c r="Z23" s="58">
        <f>IF(ISNUMBER($V23),IF($V23&gt;=Jun_2026!$C$9,1,0),"")</f>
        <v>0</v>
      </c>
      <c r="AA23" s="25">
        <f>IF(ISNUMBER($V23),Jun_2026!$C$14+Jun_2026!$D$14*$V23,"")</f>
        <v>1.11422826</v>
      </c>
      <c r="AB23" s="57">
        <f>IFERROR(IF(OR($AA23="",Jun_2026!$C$74=""),"",1-NORMSDIST((Jun_2026!$C$13-$AA23)/SQRT((Jun_2026!$D$14*Jun_2026!$C$74)^2+Jun_2026!$F$14^2))),"")</f>
        <v>5.4182571598991869E-3</v>
      </c>
    </row>
    <row r="24" spans="1:28" x14ac:dyDescent="0.2">
      <c r="A24" s="23" t="s">
        <v>100</v>
      </c>
      <c r="B24" s="22">
        <v>0.60499999999999998</v>
      </c>
      <c r="C24" s="22">
        <v>0.68469999999999998</v>
      </c>
      <c r="D24" s="24"/>
      <c r="E24" s="48">
        <v>15</v>
      </c>
      <c r="F24" s="49">
        <v>302.5</v>
      </c>
      <c r="G24" s="24"/>
      <c r="H24" s="25">
        <f>IF(ISNUMBER($B24),$B24,IF(ISNUMBER($C24),$C24,""))</f>
        <v>0.60499999999999998</v>
      </c>
      <c r="I24" s="25">
        <f>IF(COUNT($B$20:$B24)=0,"",AVERAGE($B$20:$B24))</f>
        <v>0.58540000000000003</v>
      </c>
      <c r="J24" s="25">
        <f>IF(AND(ISNUMBER($B24),ISNUMBER($C24)),$B24-$C24,"")</f>
        <v>-7.9699999999999993E-2</v>
      </c>
      <c r="K24" s="25" t="str">
        <f>IF(AND(ISNUMBER($B24),ISNUMBER(#REF!)),$B24-#REF!,"")</f>
        <v/>
      </c>
      <c r="L24" s="25" t="str">
        <f>IF(AND(ISNUMBER($B24),ISNUMBER(#REF!)),$B24-#REF!,"")</f>
        <v/>
      </c>
      <c r="M24" s="26">
        <f>IF(ISNUMBER($J24),ABS($J24),"")</f>
        <v>7.9699999999999993E-2</v>
      </c>
      <c r="N24" s="27">
        <f>IF(ISNUMBER($J24),$J24^2,"")</f>
        <v>6.3520899999999986E-3</v>
      </c>
      <c r="O24" s="26" t="str">
        <f>IF(ISNUMBER($K24),ABS($K24),"")</f>
        <v/>
      </c>
      <c r="P24" s="27" t="str">
        <f>IF(ISNUMBER($K24),$K24^2,"")</f>
        <v/>
      </c>
      <c r="Q24" s="26" t="str">
        <f>IF(ISNUMBER($L24),ABS($L24),"")</f>
        <v/>
      </c>
      <c r="R24" s="27" t="str">
        <f>IF(ISNUMBER($L24),$L24^2,"")</f>
        <v/>
      </c>
      <c r="S24" s="27">
        <f>IF(ISNUMBER($B24),($B24-$C$17)^2,"")</f>
        <v>2.6902560400000001E-2</v>
      </c>
      <c r="T24" s="26" t="str">
        <f>IF(AND($B24="",ISNUMBER($D24)),$D24,"")</f>
        <v/>
      </c>
      <c r="U24" s="54">
        <v>5</v>
      </c>
      <c r="V24" s="55">
        <v>0.55930000000000002</v>
      </c>
      <c r="W24" s="25">
        <f>IF(ISNUMBER($V24),Jun_2026!$C$5+Jun_2026!$C$6*$V24,"")</f>
        <v>1.0813574811799354</v>
      </c>
      <c r="X24" s="56">
        <f>IF(ISNUMBER($V24),IFERROR(SQRT((Jun_2026!$C$6*Jun_2026!$C$74)^2+Jun_2026!$C$7^2),""),"")</f>
        <v>3.3529009686032826E-2</v>
      </c>
      <c r="Y24" s="57">
        <f>IF(OR($W24="",$X24="",$X24=0),"",1-NORMSDIST((Jun_2026!$C$4-$W24)/$X24))</f>
        <v>9.9698246339074981E-4</v>
      </c>
      <c r="Z24" s="58">
        <f>IF(ISNUMBER($V24),IF($V24&gt;=Jun_2026!$C$9,1,0),"")</f>
        <v>0</v>
      </c>
      <c r="AA24" s="25">
        <f>IF(ISNUMBER($V24),Jun_2026!$C$14+Jun_2026!$D$14*$V24,"")</f>
        <v>1.11422826</v>
      </c>
      <c r="AB24" s="57">
        <f>IFERROR(IF(OR($AA24="",Jun_2026!$C$74=""),"",1-NORMSDIST((Jun_2026!$C$13-$AA24)/SQRT((Jun_2026!$D$14*Jun_2026!$C$74)^2+Jun_2026!$F$14^2))),"")</f>
        <v>5.4182571598991869E-3</v>
      </c>
    </row>
    <row r="25" spans="1:28" x14ac:dyDescent="0.2">
      <c r="A25" s="23" t="s">
        <v>101</v>
      </c>
      <c r="B25" s="22">
        <v>0.65100000000000002</v>
      </c>
      <c r="C25" s="22">
        <v>0.70469999999999999</v>
      </c>
      <c r="D25" s="24"/>
      <c r="E25" s="48">
        <v>13</v>
      </c>
      <c r="F25" s="49">
        <v>240.81</v>
      </c>
      <c r="G25" s="24"/>
      <c r="H25" s="25">
        <f>IF(ISNUMBER($B25),$B25,IF(ISNUMBER($C25),$C25,""))</f>
        <v>0.65100000000000002</v>
      </c>
      <c r="I25" s="25">
        <f>IF(COUNT($B$20:$B25)=0,"",AVERAGE($B$20:$B25))</f>
        <v>0.59633333333333338</v>
      </c>
      <c r="J25" s="25">
        <f>IF(AND(ISNUMBER($B25),ISNUMBER($C25)),$B25-$C25,"")</f>
        <v>-5.369999999999997E-2</v>
      </c>
      <c r="K25" s="25" t="str">
        <f>IF(AND(ISNUMBER($B25),ISNUMBER(#REF!)),$B25-#REF!,"")</f>
        <v/>
      </c>
      <c r="L25" s="25" t="str">
        <f>IF(AND(ISNUMBER($B25),ISNUMBER(#REF!)),$B25-#REF!,"")</f>
        <v/>
      </c>
      <c r="M25" s="26">
        <f>IF(ISNUMBER($J25),ABS($J25),"")</f>
        <v>5.369999999999997E-2</v>
      </c>
      <c r="N25" s="27">
        <f>IF(ISNUMBER($J25),$J25^2,"")</f>
        <v>2.8836899999999969E-3</v>
      </c>
      <c r="O25" s="26" t="str">
        <f>IF(ISNUMBER($K25),ABS($K25),"")</f>
        <v/>
      </c>
      <c r="P25" s="27" t="str">
        <f>IF(ISNUMBER($K25),$K25^2,"")</f>
        <v/>
      </c>
      <c r="Q25" s="26" t="str">
        <f>IF(ISNUMBER($L25),ABS($L25),"")</f>
        <v/>
      </c>
      <c r="R25" s="27" t="str">
        <f>IF(ISNUMBER($L25),$L25^2,"")</f>
        <v/>
      </c>
      <c r="S25" s="27">
        <f>IF(ISNUMBER($B25),($B25-$C$17)^2,"")</f>
        <v>4.4108400400000018E-2</v>
      </c>
      <c r="T25" s="26" t="str">
        <f>IF(AND($B25="",ISNUMBER($D25)),$D25,"")</f>
        <v/>
      </c>
      <c r="U25" s="54">
        <v>6</v>
      </c>
      <c r="V25" s="55">
        <v>0.55930000000000002</v>
      </c>
      <c r="W25" s="25">
        <f>IF(ISNUMBER($V25),Jun_2026!$C$5+Jun_2026!$C$6*$V25,"")</f>
        <v>1.0813574811799354</v>
      </c>
      <c r="X25" s="56">
        <f>IF(ISNUMBER($V25),IFERROR(SQRT((Jun_2026!$C$6*Jun_2026!$C$74)^2+Jun_2026!$C$7^2),""),"")</f>
        <v>3.3529009686032826E-2</v>
      </c>
      <c r="Y25" s="57">
        <f>IF(OR($W25="",$X25="",$X25=0),"",1-NORMSDIST((Jun_2026!$C$4-$W25)/$X25))</f>
        <v>9.9698246339074981E-4</v>
      </c>
      <c r="Z25" s="58">
        <f>IF(ISNUMBER($V25),IF($V25&gt;=Jun_2026!$C$9,1,0),"")</f>
        <v>0</v>
      </c>
      <c r="AA25" s="25">
        <f>IF(ISNUMBER($V25),Jun_2026!$C$14+Jun_2026!$D$14*$V25,"")</f>
        <v>1.11422826</v>
      </c>
      <c r="AB25" s="57">
        <f>IFERROR(IF(OR($AA25="",Jun_2026!$C$74=""),"",1-NORMSDIST((Jun_2026!$C$13-$AA25)/SQRT((Jun_2026!$D$14*Jun_2026!$C$74)^2+Jun_2026!$F$14^2))),"")</f>
        <v>5.4182571598991869E-3</v>
      </c>
    </row>
    <row r="26" spans="1:28" x14ac:dyDescent="0.2">
      <c r="A26" s="23" t="s">
        <v>102</v>
      </c>
      <c r="B26" s="22">
        <v>0.65300000000000002</v>
      </c>
      <c r="C26" s="22">
        <v>0.80069999999999997</v>
      </c>
      <c r="D26" s="24"/>
      <c r="E26" s="48">
        <v>13</v>
      </c>
      <c r="F26" s="49">
        <v>21</v>
      </c>
      <c r="G26" s="24"/>
      <c r="H26" s="25">
        <f>IF(ISNUMBER($B26),$B26,IF(ISNUMBER($C26),$C26,""))</f>
        <v>0.65300000000000002</v>
      </c>
      <c r="I26" s="25">
        <f>IF(COUNT($B$20:$B26)=0,"",AVERAGE($B$20:$B26))</f>
        <v>0.60442857142857143</v>
      </c>
      <c r="J26" s="25">
        <f>IF(AND(ISNUMBER($B26),ISNUMBER($C26)),$B26-$C26,"")</f>
        <v>-0.14769999999999994</v>
      </c>
      <c r="K26" s="25" t="str">
        <f>IF(AND(ISNUMBER($B26),ISNUMBER(#REF!)),$B26-#REF!,"")</f>
        <v/>
      </c>
      <c r="L26" s="25" t="str">
        <f>IF(AND(ISNUMBER($B26),ISNUMBER(#REF!)),$B26-#REF!,"")</f>
        <v/>
      </c>
      <c r="M26" s="26">
        <f>IF(ISNUMBER($J26),ABS($J26),"")</f>
        <v>0.14769999999999994</v>
      </c>
      <c r="N26" s="27">
        <f>IF(ISNUMBER($J26),$J26^2,"")</f>
        <v>2.1815289999999984E-2</v>
      </c>
      <c r="O26" s="26" t="str">
        <f>IF(ISNUMBER($K26),ABS($K26),"")</f>
        <v/>
      </c>
      <c r="P26" s="27" t="str">
        <f>IF(ISNUMBER($K26),$K26^2,"")</f>
        <v/>
      </c>
      <c r="Q26" s="26" t="str">
        <f>IF(ISNUMBER($L26),ABS($L26),"")</f>
        <v/>
      </c>
      <c r="R26" s="27" t="str">
        <f>IF(ISNUMBER($L26),$L26^2,"")</f>
        <v/>
      </c>
      <c r="S26" s="27">
        <f>IF(ISNUMBER($B26),($B26-$C$17)^2,"")</f>
        <v>4.4952480400000015E-2</v>
      </c>
      <c r="T26" s="26" t="str">
        <f>IF(AND($B26="",ISNUMBER($D26)),$D26,"")</f>
        <v/>
      </c>
      <c r="U26" s="54">
        <v>7</v>
      </c>
      <c r="V26" s="55">
        <v>0.55930000000000002</v>
      </c>
      <c r="W26" s="25">
        <f>IF(ISNUMBER($V26),Jun_2026!$C$5+Jun_2026!$C$6*$V26,"")</f>
        <v>1.0813574811799354</v>
      </c>
      <c r="X26" s="56">
        <f>IF(ISNUMBER($V26),IFERROR(SQRT((Jun_2026!$C$6*Jun_2026!$C$74)^2+Jun_2026!$C$7^2),""),"")</f>
        <v>3.3529009686032826E-2</v>
      </c>
      <c r="Y26" s="57">
        <f>IF(OR($W26="",$X26="",$X26=0),"",1-NORMSDIST((Jun_2026!$C$4-$W26)/$X26))</f>
        <v>9.9698246339074981E-4</v>
      </c>
      <c r="Z26" s="58">
        <f>IF(ISNUMBER($V26),IF($V26&gt;=Jun_2026!$C$9,1,0),"")</f>
        <v>0</v>
      </c>
      <c r="AA26" s="25">
        <f>IF(ISNUMBER($V26),Jun_2026!$C$14+Jun_2026!$D$14*$V26,"")</f>
        <v>1.11422826</v>
      </c>
      <c r="AB26" s="57">
        <f>IFERROR(IF(OR($AA26="",Jun_2026!$C$74=""),"",1-NORMSDIST((Jun_2026!$C$13-$AA26)/SQRT((Jun_2026!$D$14*Jun_2026!$C$74)^2+Jun_2026!$F$14^2))),"")</f>
        <v>5.4182571598991869E-3</v>
      </c>
    </row>
    <row r="27" spans="1:28" x14ac:dyDescent="0.2">
      <c r="A27" s="23" t="s">
        <v>103</v>
      </c>
      <c r="B27" s="22">
        <v>0.64600000000000002</v>
      </c>
      <c r="C27" s="22">
        <v>0.7268</v>
      </c>
      <c r="D27" s="24"/>
      <c r="E27" s="48">
        <v>15</v>
      </c>
      <c r="F27" s="49">
        <v>27.22</v>
      </c>
      <c r="G27" s="24"/>
      <c r="H27" s="25">
        <f>IF(ISNUMBER($B27),$B27,IF(ISNUMBER($C27),$C27,""))</f>
        <v>0.64600000000000002</v>
      </c>
      <c r="I27" s="25">
        <f>IF(COUNT($B$20:$B27)=0,"",AVERAGE($B$20:$B27))</f>
        <v>0.60962499999999997</v>
      </c>
      <c r="J27" s="25">
        <f>IF(AND(ISNUMBER($B27),ISNUMBER($C27)),$B27-$C27,"")</f>
        <v>-8.0799999999999983E-2</v>
      </c>
      <c r="K27" s="25" t="str">
        <f>IF(AND(ISNUMBER($B27),ISNUMBER(#REF!)),$B27-#REF!,"")</f>
        <v/>
      </c>
      <c r="L27" s="25" t="str">
        <f>IF(AND(ISNUMBER($B27),ISNUMBER(#REF!)),$B27-#REF!,"")</f>
        <v/>
      </c>
      <c r="M27" s="26">
        <f>IF(ISNUMBER($J27),ABS($J27),"")</f>
        <v>8.0799999999999983E-2</v>
      </c>
      <c r="N27" s="27">
        <f>IF(ISNUMBER($J27),$J27^2,"")</f>
        <v>6.528639999999997E-3</v>
      </c>
      <c r="O27" s="26" t="str">
        <f>IF(ISNUMBER($K27),ABS($K27),"")</f>
        <v/>
      </c>
      <c r="P27" s="27" t="str">
        <f>IF(ISNUMBER($K27),$K27^2,"")</f>
        <v/>
      </c>
      <c r="Q27" s="26" t="str">
        <f>IF(ISNUMBER($L27),ABS($L27),"")</f>
        <v/>
      </c>
      <c r="R27" s="27" t="str">
        <f>IF(ISNUMBER($L27),$L27^2,"")</f>
        <v/>
      </c>
      <c r="S27" s="27">
        <f>IF(ISNUMBER($B27),($B27-$C$17)^2,"")</f>
        <v>4.2033200400000012E-2</v>
      </c>
      <c r="T27" s="26" t="str">
        <f>IF(AND($B27="",ISNUMBER($D27)),$D27,"")</f>
        <v/>
      </c>
      <c r="U27" s="54">
        <v>8</v>
      </c>
      <c r="V27" s="55">
        <v>0.55930000000000002</v>
      </c>
      <c r="W27" s="25">
        <f>IF(ISNUMBER($V27),Jun_2026!$C$5+Jun_2026!$C$6*$V27,"")</f>
        <v>1.0813574811799354</v>
      </c>
      <c r="X27" s="56">
        <f>IF(ISNUMBER($V27),IFERROR(SQRT((Jun_2026!$C$6*Jun_2026!$C$74)^2+Jun_2026!$C$7^2),""),"")</f>
        <v>3.3529009686032826E-2</v>
      </c>
      <c r="Y27" s="57">
        <f>IF(OR($W27="",$X27="",$X27=0),"",1-NORMSDIST((Jun_2026!$C$4-$W27)/$X27))</f>
        <v>9.9698246339074981E-4</v>
      </c>
      <c r="Z27" s="58">
        <f>IF(ISNUMBER($V27),IF($V27&gt;=Jun_2026!$C$9,1,0),"")</f>
        <v>0</v>
      </c>
      <c r="AA27" s="25">
        <f>IF(ISNUMBER($V27),Jun_2026!$C$14+Jun_2026!$D$14*$V27,"")</f>
        <v>1.11422826</v>
      </c>
      <c r="AB27" s="57">
        <f>IFERROR(IF(OR($AA27="",Jun_2026!$C$74=""),"",1-NORMSDIST((Jun_2026!$C$13-$AA27)/SQRT((Jun_2026!$D$14*Jun_2026!$C$74)^2+Jun_2026!$F$14^2))),"")</f>
        <v>5.4182571598991869E-3</v>
      </c>
    </row>
    <row r="28" spans="1:28" x14ac:dyDescent="0.2">
      <c r="A28" s="23" t="s">
        <v>104</v>
      </c>
      <c r="B28" s="22">
        <v>0.60699999999999998</v>
      </c>
      <c r="C28" s="22">
        <v>0.69950000000000001</v>
      </c>
      <c r="D28" s="24"/>
      <c r="E28" s="48">
        <v>15</v>
      </c>
      <c r="F28" s="49">
        <v>720.73</v>
      </c>
      <c r="G28" s="24"/>
      <c r="H28" s="25">
        <f>IF(ISNUMBER($B28),$B28,IF(ISNUMBER($C28),$C28,""))</f>
        <v>0.60699999999999998</v>
      </c>
      <c r="I28" s="25">
        <f>IF(COUNT($B$20:$B28)=0,"",AVERAGE($B$20:$B28))</f>
        <v>0.60933333333333328</v>
      </c>
      <c r="J28" s="25">
        <f>IF(AND(ISNUMBER($B28),ISNUMBER($C28)),$B28-$C28,"")</f>
        <v>-9.2500000000000027E-2</v>
      </c>
      <c r="K28" s="25" t="str">
        <f>IF(AND(ISNUMBER($B28),ISNUMBER(#REF!)),$B28-#REF!,"")</f>
        <v/>
      </c>
      <c r="L28" s="25" t="str">
        <f>IF(AND(ISNUMBER($B28),ISNUMBER(#REF!)),$B28-#REF!,"")</f>
        <v/>
      </c>
      <c r="M28" s="26">
        <f>IF(ISNUMBER($J28),ABS($J28),"")</f>
        <v>9.2500000000000027E-2</v>
      </c>
      <c r="N28" s="27">
        <f>IF(ISNUMBER($J28),$J28^2,"")</f>
        <v>8.5562500000000048E-3</v>
      </c>
      <c r="O28" s="26" t="str">
        <f>IF(ISNUMBER($K28),ABS($K28),"")</f>
        <v/>
      </c>
      <c r="P28" s="27" t="str">
        <f>IF(ISNUMBER($K28),$K28^2,"")</f>
        <v/>
      </c>
      <c r="Q28" s="26" t="str">
        <f>IF(ISNUMBER($L28),ABS($L28),"")</f>
        <v/>
      </c>
      <c r="R28" s="27" t="str">
        <f>IF(ISNUMBER($L28),$L28^2,"")</f>
        <v/>
      </c>
      <c r="S28" s="27">
        <f>IF(ISNUMBER($B28),($B28-$C$17)^2,"")</f>
        <v>2.7562640400000001E-2</v>
      </c>
      <c r="T28" s="26" t="str">
        <f>IF(AND($B28="",ISNUMBER($D28)),$D28,"")</f>
        <v/>
      </c>
      <c r="U28" s="54">
        <v>9</v>
      </c>
      <c r="V28" s="55">
        <v>0.55930000000000002</v>
      </c>
      <c r="W28" s="25">
        <f>IF(ISNUMBER($V28),Jun_2026!$C$5+Jun_2026!$C$6*$V28,"")</f>
        <v>1.0813574811799354</v>
      </c>
      <c r="X28" s="56">
        <f>IF(ISNUMBER($V28),IFERROR(SQRT((Jun_2026!$C$6*Jun_2026!$C$74)^2+Jun_2026!$C$7^2),""),"")</f>
        <v>3.3529009686032826E-2</v>
      </c>
      <c r="Y28" s="57">
        <f>IF(OR($W28="",$X28="",$X28=0),"",1-NORMSDIST((Jun_2026!$C$4-$W28)/$X28))</f>
        <v>9.9698246339074981E-4</v>
      </c>
      <c r="Z28" s="58">
        <f>IF(ISNUMBER($V28),IF($V28&gt;=Jun_2026!$C$9,1,0),"")</f>
        <v>0</v>
      </c>
      <c r="AA28" s="25">
        <f>IF(ISNUMBER($V28),Jun_2026!$C$14+Jun_2026!$D$14*$V28,"")</f>
        <v>1.11422826</v>
      </c>
      <c r="AB28" s="57">
        <f>IFERROR(IF(OR($AA28="",Jun_2026!$C$74=""),"",1-NORMSDIST((Jun_2026!$C$13-$AA28)/SQRT((Jun_2026!$D$14*Jun_2026!$C$74)^2+Jun_2026!$F$14^2))),"")</f>
        <v>5.4182571598991869E-3</v>
      </c>
    </row>
    <row r="29" spans="1:28" x14ac:dyDescent="0.2">
      <c r="A29" s="23" t="s">
        <v>105</v>
      </c>
      <c r="B29" s="22">
        <v>0.59599999999999997</v>
      </c>
      <c r="C29" s="22">
        <v>0.85350000000000004</v>
      </c>
      <c r="D29" s="24"/>
      <c r="E29" s="48">
        <v>13</v>
      </c>
      <c r="F29" s="49">
        <v>280.5</v>
      </c>
      <c r="G29" s="24"/>
      <c r="H29" s="25">
        <f>IF(ISNUMBER($B29),$B29,IF(ISNUMBER($C29),$C29,""))</f>
        <v>0.59599999999999997</v>
      </c>
      <c r="I29" s="25">
        <f>IF(COUNT($B$20:$B29)=0,"",AVERAGE($B$20:$B29))</f>
        <v>0.60799999999999998</v>
      </c>
      <c r="J29" s="25">
        <f>IF(AND(ISNUMBER($B29),ISNUMBER($C29)),$B29-$C29,"")</f>
        <v>-0.25750000000000006</v>
      </c>
      <c r="K29" s="25" t="str">
        <f>IF(AND(ISNUMBER($B29),ISNUMBER(#REF!)),$B29-#REF!,"")</f>
        <v/>
      </c>
      <c r="L29" s="25" t="str">
        <f>IF(AND(ISNUMBER($B29),ISNUMBER(#REF!)),$B29-#REF!,"")</f>
        <v/>
      </c>
      <c r="M29" s="26">
        <f>IF(ISNUMBER($J29),ABS($J29),"")</f>
        <v>0.25750000000000006</v>
      </c>
      <c r="N29" s="27">
        <f>IF(ISNUMBER($J29),$J29^2,"")</f>
        <v>6.6306250000000039E-2</v>
      </c>
      <c r="O29" s="26" t="str">
        <f>IF(ISNUMBER($K29),ABS($K29),"")</f>
        <v/>
      </c>
      <c r="P29" s="27" t="str">
        <f>IF(ISNUMBER($K29),$K29^2,"")</f>
        <v/>
      </c>
      <c r="Q29" s="26" t="str">
        <f>IF(ISNUMBER($L29),ABS($L29),"")</f>
        <v/>
      </c>
      <c r="R29" s="27" t="str">
        <f>IF(ISNUMBER($L29),$L29^2,"")</f>
        <v/>
      </c>
      <c r="S29" s="27">
        <f>IF(ISNUMBER($B29),($B29-$C$17)^2,"")</f>
        <v>2.4031200399999997E-2</v>
      </c>
      <c r="T29" s="26" t="str">
        <f>IF(AND($B29="",ISNUMBER($D29)),$D29,"")</f>
        <v/>
      </c>
      <c r="U29" s="54">
        <v>10</v>
      </c>
      <c r="V29" s="55">
        <v>0.55930000000000002</v>
      </c>
      <c r="W29" s="25">
        <f>IF(ISNUMBER($V29),Jun_2026!$C$5+Jun_2026!$C$6*$V29,"")</f>
        <v>1.0813574811799354</v>
      </c>
      <c r="X29" s="56">
        <f>IF(ISNUMBER($V29),IFERROR(SQRT((Jun_2026!$C$6*Jun_2026!$C$74)^2+Jun_2026!$C$7^2),""),"")</f>
        <v>3.3529009686032826E-2</v>
      </c>
      <c r="Y29" s="57">
        <f>IF(OR($W29="",$X29="",$X29=0),"",1-NORMSDIST((Jun_2026!$C$4-$W29)/$X29))</f>
        <v>9.9698246339074981E-4</v>
      </c>
      <c r="Z29" s="58">
        <f>IF(ISNUMBER($V29),IF($V29&gt;=Jun_2026!$C$9,1,0),"")</f>
        <v>0</v>
      </c>
      <c r="AA29" s="25">
        <f>IF(ISNUMBER($V29),Jun_2026!$C$14+Jun_2026!$D$14*$V29,"")</f>
        <v>1.11422826</v>
      </c>
      <c r="AB29" s="57">
        <f>IFERROR(IF(OR($AA29="",Jun_2026!$C$74=""),"",1-NORMSDIST((Jun_2026!$C$13-$AA29)/SQRT((Jun_2026!$D$14*Jun_2026!$C$74)^2+Jun_2026!$F$14^2))),"")</f>
        <v>5.4182571598991869E-3</v>
      </c>
    </row>
    <row r="30" spans="1:28" x14ac:dyDescent="0.2">
      <c r="A30" s="23" t="s">
        <v>106</v>
      </c>
      <c r="B30" s="22">
        <v>0.622</v>
      </c>
      <c r="C30" s="22">
        <v>0.75880000000000003</v>
      </c>
      <c r="D30" s="24"/>
      <c r="E30" s="48">
        <v>12</v>
      </c>
      <c r="F30" s="49">
        <v>296.2</v>
      </c>
      <c r="G30" s="24"/>
      <c r="H30" s="25">
        <f>IF(ISNUMBER($B30),$B30,IF(ISNUMBER($C30),$C30,""))</f>
        <v>0.622</v>
      </c>
      <c r="I30" s="25">
        <f>IF(COUNT($B$20:$B30)=0,"",AVERAGE($B$20:$B30))</f>
        <v>0.6092727272727273</v>
      </c>
      <c r="J30" s="25">
        <f>IF(AND(ISNUMBER($B30),ISNUMBER($C30)),$B30-$C30,"")</f>
        <v>-0.13680000000000003</v>
      </c>
      <c r="K30" s="25" t="str">
        <f>IF(AND(ISNUMBER($B30),ISNUMBER(#REF!)),$B30-#REF!,"")</f>
        <v/>
      </c>
      <c r="L30" s="25" t="str">
        <f>IF(AND(ISNUMBER($B30),ISNUMBER(#REF!)),$B30-#REF!,"")</f>
        <v/>
      </c>
      <c r="M30" s="26">
        <f>IF(ISNUMBER($J30),ABS($J30),"")</f>
        <v>0.13680000000000003</v>
      </c>
      <c r="N30" s="27">
        <f>IF(ISNUMBER($J30),$J30^2,"")</f>
        <v>1.871424000000001E-2</v>
      </c>
      <c r="O30" s="26" t="str">
        <f>IF(ISNUMBER($K30),ABS($K30),"")</f>
        <v/>
      </c>
      <c r="P30" s="27" t="str">
        <f>IF(ISNUMBER($K30),$K30^2,"")</f>
        <v/>
      </c>
      <c r="Q30" s="26" t="str">
        <f>IF(ISNUMBER($L30),ABS($L30),"")</f>
        <v/>
      </c>
      <c r="R30" s="27" t="str">
        <f>IF(ISNUMBER($L30),$L30^2,"")</f>
        <v/>
      </c>
      <c r="S30" s="27">
        <f>IF(ISNUMBER($B30),($B30-$C$17)^2,"")</f>
        <v>3.2768240400000002E-2</v>
      </c>
      <c r="T30" s="26" t="str">
        <f>IF(AND($B30="",ISNUMBER($D30)),$D30,"")</f>
        <v/>
      </c>
      <c r="U30" s="54">
        <v>11</v>
      </c>
      <c r="V30" s="55">
        <v>0.55930000000000002</v>
      </c>
      <c r="W30" s="25">
        <f>IF(ISNUMBER($V30),Jun_2026!$C$5+Jun_2026!$C$6*$V30,"")</f>
        <v>1.0813574811799354</v>
      </c>
      <c r="X30" s="56">
        <f>IF(ISNUMBER($V30),IFERROR(SQRT((Jun_2026!$C$6*Jun_2026!$C$74)^2+Jun_2026!$C$7^2),""),"")</f>
        <v>3.3529009686032826E-2</v>
      </c>
      <c r="Y30" s="57">
        <f>IF(OR($W30="",$X30="",$X30=0),"",1-NORMSDIST((Jun_2026!$C$4-$W30)/$X30))</f>
        <v>9.9698246339074981E-4</v>
      </c>
      <c r="Z30" s="58">
        <f>IF(ISNUMBER($V30),IF($V30&gt;=Jun_2026!$C$9,1,0),"")</f>
        <v>0</v>
      </c>
      <c r="AA30" s="25">
        <f>IF(ISNUMBER($V30),Jun_2026!$C$14+Jun_2026!$D$14*$V30,"")</f>
        <v>1.11422826</v>
      </c>
      <c r="AB30" s="57">
        <f>IFERROR(IF(OR($AA30="",Jun_2026!$C$74=""),"",1-NORMSDIST((Jun_2026!$C$13-$AA30)/SQRT((Jun_2026!$D$14*Jun_2026!$C$74)^2+Jun_2026!$F$14^2))),"")</f>
        <v>5.4182571598991869E-3</v>
      </c>
    </row>
    <row r="31" spans="1:28" x14ac:dyDescent="0.2">
      <c r="A31" s="23" t="s">
        <v>107</v>
      </c>
      <c r="B31" s="22">
        <v>0.6</v>
      </c>
      <c r="C31" s="22">
        <v>0.71579999999999999</v>
      </c>
      <c r="D31" s="24"/>
      <c r="E31" s="48">
        <v>10</v>
      </c>
      <c r="F31" s="49">
        <v>15.9</v>
      </c>
      <c r="G31" s="24"/>
      <c r="H31" s="25">
        <f>IF(ISNUMBER($B31),$B31,IF(ISNUMBER($C31),$C31,""))</f>
        <v>0.6</v>
      </c>
      <c r="I31" s="25">
        <f>IF(COUNT($B$20:$B31)=0,"",AVERAGE($B$20:$B31))</f>
        <v>0.60849999999999993</v>
      </c>
      <c r="J31" s="25">
        <f>IF(AND(ISNUMBER($B31),ISNUMBER($C31)),$B31-$C31,"")</f>
        <v>-0.11580000000000001</v>
      </c>
      <c r="K31" s="25" t="str">
        <f>IF(AND(ISNUMBER($B31),ISNUMBER(#REF!)),$B31-#REF!,"")</f>
        <v/>
      </c>
      <c r="L31" s="25" t="str">
        <f>IF(AND(ISNUMBER($B31),ISNUMBER(#REF!)),$B31-#REF!,"")</f>
        <v/>
      </c>
      <c r="M31" s="26">
        <f>IF(ISNUMBER($J31),ABS($J31),"")</f>
        <v>0.11580000000000001</v>
      </c>
      <c r="N31" s="27">
        <f>IF(ISNUMBER($J31),$J31^2,"")</f>
        <v>1.3409640000000004E-2</v>
      </c>
      <c r="O31" s="26" t="str">
        <f>IF(ISNUMBER($K31),ABS($K31),"")</f>
        <v/>
      </c>
      <c r="P31" s="27" t="str">
        <f>IF(ISNUMBER($K31),$K31^2,"")</f>
        <v/>
      </c>
      <c r="Q31" s="26" t="str">
        <f>IF(ISNUMBER($L31),ABS($L31),"")</f>
        <v/>
      </c>
      <c r="R31" s="27" t="str">
        <f>IF(ISNUMBER($L31),$L31^2,"")</f>
        <v/>
      </c>
      <c r="S31" s="27">
        <f>IF(ISNUMBER($B31),($B31-$C$17)^2,"")</f>
        <v>2.5287360399999997E-2</v>
      </c>
      <c r="T31" s="26" t="str">
        <f>IF(AND($B31="",ISNUMBER($D31)),$D31,"")</f>
        <v/>
      </c>
      <c r="U31" s="54">
        <v>12</v>
      </c>
      <c r="V31" s="55">
        <v>0.55930000000000002</v>
      </c>
      <c r="W31" s="25">
        <f>IF(ISNUMBER($V31),Jun_2026!$C$5+Jun_2026!$C$6*$V31,"")</f>
        <v>1.0813574811799354</v>
      </c>
      <c r="X31" s="56">
        <f>IF(ISNUMBER($V31),IFERROR(SQRT((Jun_2026!$C$6*Jun_2026!$C$74)^2+Jun_2026!$C$7^2),""),"")</f>
        <v>3.3529009686032826E-2</v>
      </c>
      <c r="Y31" s="57">
        <f>IF(OR($W31="",$X31="",$X31=0),"",1-NORMSDIST((Jun_2026!$C$4-$W31)/$X31))</f>
        <v>9.9698246339074981E-4</v>
      </c>
      <c r="Z31" s="58">
        <f>IF(ISNUMBER($V31),IF($V31&gt;=Jun_2026!$C$9,1,0),"")</f>
        <v>0</v>
      </c>
      <c r="AA31" s="25">
        <f>IF(ISNUMBER($V31),Jun_2026!$C$14+Jun_2026!$D$14*$V31,"")</f>
        <v>1.11422826</v>
      </c>
      <c r="AB31" s="57">
        <f>IFERROR(IF(OR($AA31="",Jun_2026!$C$74=""),"",1-NORMSDIST((Jun_2026!$C$13-$AA31)/SQRT((Jun_2026!$D$14*Jun_2026!$C$74)^2+Jun_2026!$F$14^2))),"")</f>
        <v>5.4182571598991869E-3</v>
      </c>
    </row>
    <row r="32" spans="1:28" x14ac:dyDescent="0.2">
      <c r="A32" s="23" t="s">
        <v>108</v>
      </c>
      <c r="B32" s="22">
        <v>0.53500000000000003</v>
      </c>
      <c r="C32" s="22">
        <v>0.53969999999999996</v>
      </c>
      <c r="D32" s="24"/>
      <c r="E32" s="48">
        <v>11</v>
      </c>
      <c r="F32" s="49">
        <v>280.52999999999997</v>
      </c>
      <c r="G32" s="24"/>
      <c r="H32" s="25">
        <f>IF(ISNUMBER($B32),$B32,IF(ISNUMBER($C32),$C32,""))</f>
        <v>0.53500000000000003</v>
      </c>
      <c r="I32" s="25">
        <f>IF(COUNT($B$20:$B32)=0,"",AVERAGE($B$20:$B32))</f>
        <v>0.60284615384615381</v>
      </c>
      <c r="J32" s="25">
        <f>IF(AND(ISNUMBER($B32),ISNUMBER($C32)),$B32-$C32,"")</f>
        <v>-4.6999999999999265E-3</v>
      </c>
      <c r="K32" s="25" t="str">
        <f>IF(AND(ISNUMBER($B32),ISNUMBER(#REF!)),$B32-#REF!,"")</f>
        <v/>
      </c>
      <c r="L32" s="25" t="str">
        <f>IF(AND(ISNUMBER($B32),ISNUMBER(#REF!)),$B32-#REF!,"")</f>
        <v/>
      </c>
      <c r="M32" s="26">
        <f>IF(ISNUMBER($J32),ABS($J32),"")</f>
        <v>4.6999999999999265E-3</v>
      </c>
      <c r="N32" s="27">
        <f>IF(ISNUMBER($J32),$J32^2,"")</f>
        <v>2.2089999999999309E-5</v>
      </c>
      <c r="O32" s="26" t="str">
        <f>IF(ISNUMBER($K32),ABS($K32),"")</f>
        <v/>
      </c>
      <c r="P32" s="27" t="str">
        <f>IF(ISNUMBER($K32),$K32^2,"")</f>
        <v/>
      </c>
      <c r="Q32" s="26" t="str">
        <f>IF(ISNUMBER($L32),ABS($L32),"")</f>
        <v/>
      </c>
      <c r="R32" s="27" t="str">
        <f>IF(ISNUMBER($L32),$L32^2,"")</f>
        <v/>
      </c>
      <c r="S32" s="27">
        <f>IF(ISNUMBER($B32),($B32-$C$17)^2,"")</f>
        <v>8.8397604000000091E-3</v>
      </c>
      <c r="T32" s="26" t="str">
        <f>IF(AND($B32="",ISNUMBER($D32)),$D32,"")</f>
        <v/>
      </c>
      <c r="U32" s="54">
        <v>13</v>
      </c>
      <c r="V32" s="55">
        <v>0.55930000000000002</v>
      </c>
      <c r="W32" s="25">
        <f>IF(ISNUMBER($V32),Jun_2026!$C$5+Jun_2026!$C$6*$V32,"")</f>
        <v>1.0813574811799354</v>
      </c>
      <c r="X32" s="56">
        <f>IF(ISNUMBER($V32),IFERROR(SQRT((Jun_2026!$C$6*Jun_2026!$C$74)^2+Jun_2026!$C$7^2),""),"")</f>
        <v>3.3529009686032826E-2</v>
      </c>
      <c r="Y32" s="57">
        <f>IF(OR($W32="",$X32="",$X32=0),"",1-NORMSDIST((Jun_2026!$C$4-$W32)/$X32))</f>
        <v>9.9698246339074981E-4</v>
      </c>
      <c r="Z32" s="58">
        <f>IF(ISNUMBER($V32),IF($V32&gt;=Jun_2026!$C$9,1,0),"")</f>
        <v>0</v>
      </c>
      <c r="AA32" s="25">
        <f>IF(ISNUMBER($V32),Jun_2026!$C$14+Jun_2026!$D$14*$V32,"")</f>
        <v>1.11422826</v>
      </c>
      <c r="AB32" s="57">
        <f>IFERROR(IF(OR($AA32="",Jun_2026!$C$74=""),"",1-NORMSDIST((Jun_2026!$C$13-$AA32)/SQRT((Jun_2026!$D$14*Jun_2026!$C$74)^2+Jun_2026!$F$14^2))),"")</f>
        <v>5.4182571598991869E-3</v>
      </c>
    </row>
    <row r="33" spans="1:28" x14ac:dyDescent="0.2">
      <c r="A33" s="23" t="s">
        <v>109</v>
      </c>
      <c r="B33" s="22">
        <v>0.45600000000000002</v>
      </c>
      <c r="C33" s="22">
        <v>0.41099999999999998</v>
      </c>
      <c r="D33" s="24"/>
      <c r="E33" s="48">
        <v>13</v>
      </c>
      <c r="F33" s="49">
        <v>191.71</v>
      </c>
      <c r="G33" s="24"/>
      <c r="H33" s="25">
        <f>IF(ISNUMBER($B33),$B33,IF(ISNUMBER($C33),$C33,""))</f>
        <v>0.45600000000000002</v>
      </c>
      <c r="I33" s="25">
        <f>IF(COUNT($B$20:$B33)=0,"",AVERAGE($B$20:$B33))</f>
        <v>0.5923571428571428</v>
      </c>
      <c r="J33" s="25">
        <f>IF(AND(ISNUMBER($B33),ISNUMBER($C33)),$B33-$C33,"")</f>
        <v>4.500000000000004E-2</v>
      </c>
      <c r="K33" s="25" t="str">
        <f>IF(AND(ISNUMBER($B33),ISNUMBER(#REF!)),$B33-#REF!,"")</f>
        <v/>
      </c>
      <c r="L33" s="25" t="str">
        <f>IF(AND(ISNUMBER($B33),ISNUMBER(#REF!)),$B33-#REF!,"")</f>
        <v/>
      </c>
      <c r="M33" s="26">
        <f>IF(ISNUMBER($J33),ABS($J33),"")</f>
        <v>4.500000000000004E-2</v>
      </c>
      <c r="N33" s="27">
        <f>IF(ISNUMBER($J33),$J33^2,"")</f>
        <v>2.0250000000000038E-3</v>
      </c>
      <c r="O33" s="26" t="str">
        <f>IF(ISNUMBER($K33),ABS($K33),"")</f>
        <v/>
      </c>
      <c r="P33" s="27" t="str">
        <f>IF(ISNUMBER($K33),$K33^2,"")</f>
        <v/>
      </c>
      <c r="Q33" s="26" t="str">
        <f>IF(ISNUMBER($L33),ABS($L33),"")</f>
        <v/>
      </c>
      <c r="R33" s="27" t="str">
        <f>IF(ISNUMBER($L33),$L33^2,"")</f>
        <v/>
      </c>
      <c r="S33" s="27">
        <f>IF(ISNUMBER($B33),($B33-$C$17)^2,"")</f>
        <v>2.2560040000000101E-4</v>
      </c>
      <c r="T33" s="26" t="str">
        <f>IF(AND($B33="",ISNUMBER($D33)),$D33,"")</f>
        <v/>
      </c>
      <c r="U33" s="54">
        <v>14</v>
      </c>
      <c r="V33" s="55">
        <v>0.55930000000000002</v>
      </c>
      <c r="W33" s="25">
        <f>IF(ISNUMBER($V33),Jun_2026!$C$5+Jun_2026!$C$6*$V33,"")</f>
        <v>1.0813574811799354</v>
      </c>
      <c r="X33" s="56">
        <f>IF(ISNUMBER($V33),IFERROR(SQRT((Jun_2026!$C$6*Jun_2026!$C$74)^2+Jun_2026!$C$7^2),""),"")</f>
        <v>3.3529009686032826E-2</v>
      </c>
      <c r="Y33" s="57">
        <f>IF(OR($W33="",$X33="",$X33=0),"",1-NORMSDIST((Jun_2026!$C$4-$W33)/$X33))</f>
        <v>9.9698246339074981E-4</v>
      </c>
      <c r="Z33" s="58">
        <f>IF(ISNUMBER($V33),IF($V33&gt;=Jun_2026!$C$9,1,0),"")</f>
        <v>0</v>
      </c>
      <c r="AA33" s="25">
        <f>IF(ISNUMBER($V33),Jun_2026!$C$14+Jun_2026!$D$14*$V33,"")</f>
        <v>1.11422826</v>
      </c>
      <c r="AB33" s="57">
        <f>IFERROR(IF(OR($AA33="",Jun_2026!$C$74=""),"",1-NORMSDIST((Jun_2026!$C$13-$AA33)/SQRT((Jun_2026!$D$14*Jun_2026!$C$74)^2+Jun_2026!$F$14^2))),"")</f>
        <v>5.4182571598991869E-3</v>
      </c>
    </row>
    <row r="34" spans="1:28" x14ac:dyDescent="0.2">
      <c r="A34" s="23" t="s">
        <v>110</v>
      </c>
      <c r="B34" s="22">
        <v>0.46100000000000002</v>
      </c>
      <c r="C34" s="22">
        <v>0.49199999999999999</v>
      </c>
      <c r="D34" s="24"/>
      <c r="E34" s="48">
        <v>10</v>
      </c>
      <c r="F34" s="49">
        <v>431.61</v>
      </c>
      <c r="G34" s="24"/>
      <c r="H34" s="25">
        <f>IF(ISNUMBER($B34),$B34,IF(ISNUMBER($C34),$C34,""))</f>
        <v>0.46100000000000002</v>
      </c>
      <c r="I34" s="25">
        <f>IF(COUNT($B$20:$B34)=0,"",AVERAGE($B$20:$B34))</f>
        <v>0.58360000000000001</v>
      </c>
      <c r="J34" s="25">
        <f>IF(AND(ISNUMBER($B34),ISNUMBER($C34)),$B34-$C34,"")</f>
        <v>-3.0999999999999972E-2</v>
      </c>
      <c r="K34" s="25" t="str">
        <f>IF(AND(ISNUMBER($B34),ISNUMBER(#REF!)),$B34-#REF!,"")</f>
        <v/>
      </c>
      <c r="L34" s="25" t="str">
        <f>IF(AND(ISNUMBER($B34),ISNUMBER(#REF!)),$B34-#REF!,"")</f>
        <v/>
      </c>
      <c r="M34" s="26">
        <f>IF(ISNUMBER($J34),ABS($J34),"")</f>
        <v>3.0999999999999972E-2</v>
      </c>
      <c r="N34" s="27">
        <f>IF(ISNUMBER($J34),$J34^2,"")</f>
        <v>9.6099999999999831E-4</v>
      </c>
      <c r="O34" s="26" t="str">
        <f>IF(ISNUMBER($K34),ABS($K34),"")</f>
        <v/>
      </c>
      <c r="P34" s="27" t="str">
        <f>IF(ISNUMBER($K34),$K34^2,"")</f>
        <v/>
      </c>
      <c r="Q34" s="26" t="str">
        <f>IF(ISNUMBER($L34),ABS($L34),"")</f>
        <v/>
      </c>
      <c r="R34" s="27" t="str">
        <f>IF(ISNUMBER($L34),$L34^2,"")</f>
        <v/>
      </c>
      <c r="S34" s="27">
        <f>IF(ISNUMBER($B34),($B34-$C$17)^2,"")</f>
        <v>4.0080040000000153E-4</v>
      </c>
      <c r="T34" s="26" t="str">
        <f>IF(AND($B34="",ISNUMBER($D34)),$D34,"")</f>
        <v/>
      </c>
      <c r="U34" s="54">
        <v>15</v>
      </c>
      <c r="V34" s="55">
        <v>0.55930000000000002</v>
      </c>
      <c r="W34" s="25">
        <f>IF(ISNUMBER($V34),Jun_2026!$C$5+Jun_2026!$C$6*$V34,"")</f>
        <v>1.0813574811799354</v>
      </c>
      <c r="X34" s="56">
        <f>IF(ISNUMBER($V34),IFERROR(SQRT((Jun_2026!$C$6*Jun_2026!$C$74)^2+Jun_2026!$C$7^2),""),"")</f>
        <v>3.3529009686032826E-2</v>
      </c>
      <c r="Y34" s="57">
        <f>IF(OR($W34="",$X34="",$X34=0),"",1-NORMSDIST((Jun_2026!$C$4-$W34)/$X34))</f>
        <v>9.9698246339074981E-4</v>
      </c>
      <c r="Z34" s="58">
        <f>IF(ISNUMBER($V34),IF($V34&gt;=Jun_2026!$C$9,1,0),"")</f>
        <v>0</v>
      </c>
      <c r="AA34" s="25">
        <f>IF(ISNUMBER($V34),Jun_2026!$C$14+Jun_2026!$D$14*$V34,"")</f>
        <v>1.11422826</v>
      </c>
      <c r="AB34" s="57">
        <f>IFERROR(IF(OR($AA34="",Jun_2026!$C$74=""),"",1-NORMSDIST((Jun_2026!$C$13-$AA34)/SQRT((Jun_2026!$D$14*Jun_2026!$C$74)^2+Jun_2026!$F$14^2))),"")</f>
        <v>5.4182571598991869E-3</v>
      </c>
    </row>
    <row r="35" spans="1:28" x14ac:dyDescent="0.2">
      <c r="A35" s="23" t="s">
        <v>111</v>
      </c>
      <c r="B35" s="22">
        <v>0.49299999999999999</v>
      </c>
      <c r="C35" s="22">
        <v>0.48699999999999999</v>
      </c>
      <c r="D35" s="24"/>
      <c r="E35" s="48">
        <v>9</v>
      </c>
      <c r="F35" s="49">
        <v>892.55</v>
      </c>
      <c r="G35" s="24"/>
      <c r="H35" s="25">
        <f>IF(ISNUMBER($B35),$B35,IF(ISNUMBER($C35),$C35,""))</f>
        <v>0.49299999999999999</v>
      </c>
      <c r="I35" s="25">
        <f>IF(COUNT($B$20:$B35)=0,"",AVERAGE($B$20:$B35))</f>
        <v>0.57793749999999999</v>
      </c>
      <c r="J35" s="25">
        <f>IF(AND(ISNUMBER($B35),ISNUMBER($C35)),$B35-$C35,"")</f>
        <v>6.0000000000000053E-3</v>
      </c>
      <c r="K35" s="25" t="str">
        <f>IF(AND(ISNUMBER($B35),ISNUMBER(#REF!)),$B35-#REF!,"")</f>
        <v/>
      </c>
      <c r="L35" s="25" t="str">
        <f>IF(AND(ISNUMBER($B35),ISNUMBER(#REF!)),$B35-#REF!,"")</f>
        <v/>
      </c>
      <c r="M35" s="26">
        <f>IF(ISNUMBER($J35),ABS($J35),"")</f>
        <v>6.0000000000000053E-3</v>
      </c>
      <c r="N35" s="27">
        <f>IF(ISNUMBER($J35),$J35^2,"")</f>
        <v>3.6000000000000062E-5</v>
      </c>
      <c r="O35" s="26" t="str">
        <f>IF(ISNUMBER($K35),ABS($K35),"")</f>
        <v/>
      </c>
      <c r="P35" s="27" t="str">
        <f>IF(ISNUMBER($K35),$K35^2,"")</f>
        <v/>
      </c>
      <c r="Q35" s="26" t="str">
        <f>IF(ISNUMBER($L35),ABS($L35),"")</f>
        <v/>
      </c>
      <c r="R35" s="27" t="str">
        <f>IF(ISNUMBER($L35),$L35^2,"")</f>
        <v/>
      </c>
      <c r="S35" s="27">
        <f>IF(ISNUMBER($B35),($B35-$C$17)^2,"")</f>
        <v>2.706080400000001E-3</v>
      </c>
      <c r="T35" s="26" t="str">
        <f>IF(AND($B35="",ISNUMBER($D35)),$D35,"")</f>
        <v/>
      </c>
      <c r="U35" s="54">
        <v>16</v>
      </c>
      <c r="V35" s="55">
        <v>0.55930000000000002</v>
      </c>
      <c r="W35" s="25">
        <f>IF(ISNUMBER($V35),Jun_2026!$C$5+Jun_2026!$C$6*$V35,"")</f>
        <v>1.0813574811799354</v>
      </c>
      <c r="X35" s="56">
        <f>IF(ISNUMBER($V35),IFERROR(SQRT((Jun_2026!$C$6*Jun_2026!$C$74)^2+Jun_2026!$C$7^2),""),"")</f>
        <v>3.3529009686032826E-2</v>
      </c>
      <c r="Y35" s="57">
        <f>IF(OR($W35="",$X35="",$X35=0),"",1-NORMSDIST((Jun_2026!$C$4-$W35)/$X35))</f>
        <v>9.9698246339074981E-4</v>
      </c>
      <c r="Z35" s="58">
        <f>IF(ISNUMBER($V35),IF($V35&gt;=Jun_2026!$C$9,1,0),"")</f>
        <v>0</v>
      </c>
      <c r="AA35" s="25">
        <f>IF(ISNUMBER($V35),Jun_2026!$C$14+Jun_2026!$D$14*$V35,"")</f>
        <v>1.11422826</v>
      </c>
      <c r="AB35" s="57">
        <f>IFERROR(IF(OR($AA35="",Jun_2026!$C$74=""),"",1-NORMSDIST((Jun_2026!$C$13-$AA35)/SQRT((Jun_2026!$D$14*Jun_2026!$C$74)^2+Jun_2026!$F$14^2))),"")</f>
        <v>5.4182571598991869E-3</v>
      </c>
    </row>
    <row r="36" spans="1:28" x14ac:dyDescent="0.2">
      <c r="A36" s="23" t="s">
        <v>112</v>
      </c>
      <c r="B36" s="22">
        <v>0.5</v>
      </c>
      <c r="C36" s="22">
        <v>0.59670000000000001</v>
      </c>
      <c r="D36" s="24"/>
      <c r="E36" s="48">
        <v>7.0000000000000009</v>
      </c>
      <c r="F36" s="49">
        <v>759.46</v>
      </c>
      <c r="G36" s="24"/>
      <c r="H36" s="25">
        <f>IF(ISNUMBER($B36),$B36,IF(ISNUMBER($C36),$C36,""))</f>
        <v>0.5</v>
      </c>
      <c r="I36" s="25">
        <f>IF(COUNT($B$20:$B36)=0,"",AVERAGE($B$20:$B36))</f>
        <v>0.57335294117647062</v>
      </c>
      <c r="J36" s="25">
        <f>IF(AND(ISNUMBER($B36),ISNUMBER($C36)),$B36-$C36,"")</f>
        <v>-9.6700000000000008E-2</v>
      </c>
      <c r="K36" s="25" t="str">
        <f>IF(AND(ISNUMBER($B36),ISNUMBER(#REF!)),$B36-#REF!,"")</f>
        <v/>
      </c>
      <c r="L36" s="25" t="str">
        <f>IF(AND(ISNUMBER($B36),ISNUMBER(#REF!)),$B36-#REF!,"")</f>
        <v/>
      </c>
      <c r="M36" s="26">
        <f>IF(ISNUMBER($J36),ABS($J36),"")</f>
        <v>9.6700000000000008E-2</v>
      </c>
      <c r="N36" s="27">
        <f>IF(ISNUMBER($J36),$J36^2,"")</f>
        <v>9.3508900000000023E-3</v>
      </c>
      <c r="O36" s="26" t="str">
        <f>IF(ISNUMBER($K36),ABS($K36),"")</f>
        <v/>
      </c>
      <c r="P36" s="27" t="str">
        <f>IF(ISNUMBER($K36),$K36^2,"")</f>
        <v/>
      </c>
      <c r="Q36" s="26" t="str">
        <f>IF(ISNUMBER($L36),ABS($L36),"")</f>
        <v/>
      </c>
      <c r="R36" s="27" t="str">
        <f>IF(ISNUMBER($L36),$L36^2,"")</f>
        <v/>
      </c>
      <c r="S36" s="27">
        <f>IF(ISNUMBER($B36),($B36-$C$17)^2,"")</f>
        <v>3.4833604000000019E-3</v>
      </c>
      <c r="T36" s="26" t="str">
        <f>IF(AND($B36="",ISNUMBER($D36)),$D36,"")</f>
        <v/>
      </c>
      <c r="U36" s="54">
        <v>17</v>
      </c>
      <c r="V36" s="55">
        <v>0.55930000000000002</v>
      </c>
      <c r="W36" s="25">
        <f>IF(ISNUMBER($V36),Jun_2026!$C$5+Jun_2026!$C$6*$V36,"")</f>
        <v>1.0813574811799354</v>
      </c>
      <c r="X36" s="56">
        <f>IF(ISNUMBER($V36),IFERROR(SQRT((Jun_2026!$C$6*Jun_2026!$C$74)^2+Jun_2026!$C$7^2),""),"")</f>
        <v>3.3529009686032826E-2</v>
      </c>
      <c r="Y36" s="57">
        <f>IF(OR($W36="",$X36="",$X36=0),"",1-NORMSDIST((Jun_2026!$C$4-$W36)/$X36))</f>
        <v>9.9698246339074981E-4</v>
      </c>
      <c r="Z36" s="58">
        <f>IF(ISNUMBER($V36),IF($V36&gt;=Jun_2026!$C$9,1,0),"")</f>
        <v>0</v>
      </c>
      <c r="AA36" s="25">
        <f>IF(ISNUMBER($V36),Jun_2026!$C$14+Jun_2026!$D$14*$V36,"")</f>
        <v>1.11422826</v>
      </c>
      <c r="AB36" s="57">
        <f>IFERROR(IF(OR($AA36="",Jun_2026!$C$74=""),"",1-NORMSDIST((Jun_2026!$C$13-$AA36)/SQRT((Jun_2026!$D$14*Jun_2026!$C$74)^2+Jun_2026!$F$14^2))),"")</f>
        <v>5.4182571598991869E-3</v>
      </c>
    </row>
    <row r="37" spans="1:28" x14ac:dyDescent="0.2">
      <c r="A37" s="23" t="s">
        <v>113</v>
      </c>
      <c r="B37" s="22">
        <v>0.501</v>
      </c>
      <c r="C37" s="22">
        <v>0.52729999999999999</v>
      </c>
      <c r="D37" s="24"/>
      <c r="E37" s="48">
        <v>8</v>
      </c>
      <c r="F37" s="49">
        <v>512.99</v>
      </c>
      <c r="G37" s="24"/>
      <c r="H37" s="25">
        <f>IF(ISNUMBER($B37),$B37,IF(ISNUMBER($C37),$C37,""))</f>
        <v>0.501</v>
      </c>
      <c r="I37" s="25">
        <f>IF(COUNT($B$20:$B37)=0,"",AVERAGE($B$20:$B37))</f>
        <v>0.56933333333333325</v>
      </c>
      <c r="J37" s="25">
        <f>IF(AND(ISNUMBER($B37),ISNUMBER($C37)),$B37-$C37,"")</f>
        <v>-2.629999999999999E-2</v>
      </c>
      <c r="K37" s="25" t="str">
        <f>IF(AND(ISNUMBER($B37),ISNUMBER(#REF!)),$B37-#REF!,"")</f>
        <v/>
      </c>
      <c r="L37" s="25" t="str">
        <f>IF(AND(ISNUMBER($B37),ISNUMBER(#REF!)),$B37-#REF!,"")</f>
        <v/>
      </c>
      <c r="M37" s="26">
        <f>IF(ISNUMBER($J37),ABS($J37),"")</f>
        <v>2.629999999999999E-2</v>
      </c>
      <c r="N37" s="27">
        <f>IF(ISNUMBER($J37),$J37^2,"")</f>
        <v>6.9168999999999947E-4</v>
      </c>
      <c r="O37" s="26" t="str">
        <f>IF(ISNUMBER($K37),ABS($K37),"")</f>
        <v/>
      </c>
      <c r="P37" s="27" t="str">
        <f>IF(ISNUMBER($K37),$K37^2,"")</f>
        <v/>
      </c>
      <c r="Q37" s="26" t="str">
        <f>IF(ISNUMBER($L37),ABS($L37),"")</f>
        <v/>
      </c>
      <c r="R37" s="27" t="str">
        <f>IF(ISNUMBER($L37),$L37^2,"")</f>
        <v/>
      </c>
      <c r="S37" s="27">
        <f>IF(ISNUMBER($B37),($B37-$C$17)^2,"")</f>
        <v>3.6024004000000023E-3</v>
      </c>
      <c r="T37" s="26" t="str">
        <f>IF(AND($B37="",ISNUMBER($D37)),$D37,"")</f>
        <v/>
      </c>
      <c r="U37" s="54">
        <v>18</v>
      </c>
      <c r="V37" s="55">
        <v>0.55930000000000002</v>
      </c>
      <c r="W37" s="25">
        <f>IF(ISNUMBER($V37),Jun_2026!$C$5+Jun_2026!$C$6*$V37,"")</f>
        <v>1.0813574811799354</v>
      </c>
      <c r="X37" s="56">
        <f>IF(ISNUMBER($V37),IFERROR(SQRT((Jun_2026!$C$6*Jun_2026!$C$74)^2+Jun_2026!$C$7^2),""),"")</f>
        <v>3.3529009686032826E-2</v>
      </c>
      <c r="Y37" s="57">
        <f>IF(OR($W37="",$X37="",$X37=0),"",1-NORMSDIST((Jun_2026!$C$4-$W37)/$X37))</f>
        <v>9.9698246339074981E-4</v>
      </c>
      <c r="Z37" s="58">
        <f>IF(ISNUMBER($V37),IF($V37&gt;=Jun_2026!$C$9,1,0),"")</f>
        <v>0</v>
      </c>
      <c r="AA37" s="25">
        <f>IF(ISNUMBER($V37),Jun_2026!$C$14+Jun_2026!$D$14*$V37,"")</f>
        <v>1.11422826</v>
      </c>
      <c r="AB37" s="57">
        <f>IFERROR(IF(OR($AA37="",Jun_2026!$C$74=""),"",1-NORMSDIST((Jun_2026!$C$13-$AA37)/SQRT((Jun_2026!$D$14*Jun_2026!$C$74)^2+Jun_2026!$F$14^2))),"")</f>
        <v>5.4182571598991869E-3</v>
      </c>
    </row>
    <row r="38" spans="1:28" x14ac:dyDescent="0.2">
      <c r="A38" s="23" t="s">
        <v>114</v>
      </c>
      <c r="B38" s="22">
        <v>0.46400000000000002</v>
      </c>
      <c r="C38" s="22">
        <v>0.4219</v>
      </c>
      <c r="D38" s="24"/>
      <c r="E38" s="48">
        <v>8</v>
      </c>
      <c r="F38" s="49">
        <v>400.01</v>
      </c>
      <c r="G38" s="24"/>
      <c r="H38" s="25">
        <f>IF(ISNUMBER($B38),$B38,IF(ISNUMBER($C38),$C38,""))</f>
        <v>0.46400000000000002</v>
      </c>
      <c r="I38" s="25">
        <f>IF(COUNT($B$20:$B38)=0,"",AVERAGE($B$20:$B38))</f>
        <v>0.56378947368421051</v>
      </c>
      <c r="J38" s="25">
        <f>IF(AND(ISNUMBER($B38),ISNUMBER($C38)),$B38-$C38,"")</f>
        <v>4.2100000000000026E-2</v>
      </c>
      <c r="K38" s="25" t="str">
        <f>IF(AND(ISNUMBER($B38),ISNUMBER(#REF!)),$B38-#REF!,"")</f>
        <v/>
      </c>
      <c r="L38" s="25" t="str">
        <f>IF(AND(ISNUMBER($B38),ISNUMBER(#REF!)),$B38-#REF!,"")</f>
        <v/>
      </c>
      <c r="M38" s="26">
        <f>IF(ISNUMBER($J38),ABS($J38),"")</f>
        <v>4.2100000000000026E-2</v>
      </c>
      <c r="N38" s="27">
        <f>IF(ISNUMBER($J38),$J38^2,"")</f>
        <v>1.7724100000000023E-3</v>
      </c>
      <c r="O38" s="26" t="str">
        <f>IF(ISNUMBER($K38),ABS($K38),"")</f>
        <v/>
      </c>
      <c r="P38" s="27" t="str">
        <f>IF(ISNUMBER($K38),$K38^2,"")</f>
        <v/>
      </c>
      <c r="Q38" s="26" t="str">
        <f>IF(ISNUMBER($L38),ABS($L38),"")</f>
        <v/>
      </c>
      <c r="R38" s="27" t="str">
        <f>IF(ISNUMBER($L38),$L38^2,"")</f>
        <v/>
      </c>
      <c r="S38" s="27">
        <f>IF(ISNUMBER($B38),($B38-$C$17)^2,"")</f>
        <v>5.2992040000000189E-4</v>
      </c>
      <c r="T38" s="26" t="str">
        <f>IF(AND($B38="",ISNUMBER($D38)),$D38,"")</f>
        <v/>
      </c>
      <c r="U38" s="54">
        <v>19</v>
      </c>
      <c r="V38" s="55">
        <v>0.55930000000000002</v>
      </c>
      <c r="W38" s="25">
        <f>IF(ISNUMBER($V38),Jun_2026!$C$5+Jun_2026!$C$6*$V38,"")</f>
        <v>1.0813574811799354</v>
      </c>
      <c r="X38" s="56">
        <f>IF(ISNUMBER($V38),IFERROR(SQRT((Jun_2026!$C$6*Jun_2026!$C$74)^2+Jun_2026!$C$7^2),""),"")</f>
        <v>3.3529009686032826E-2</v>
      </c>
      <c r="Y38" s="57">
        <f>IF(OR($W38="",$X38="",$X38=0),"",1-NORMSDIST((Jun_2026!$C$4-$W38)/$X38))</f>
        <v>9.9698246339074981E-4</v>
      </c>
      <c r="Z38" s="58">
        <f>IF(ISNUMBER($V38),IF($V38&gt;=Jun_2026!$C$9,1,0),"")</f>
        <v>0</v>
      </c>
      <c r="AA38" s="25">
        <f>IF(ISNUMBER($V38),Jun_2026!$C$14+Jun_2026!$D$14*$V38,"")</f>
        <v>1.11422826</v>
      </c>
      <c r="AB38" s="57">
        <f>IFERROR(IF(OR($AA38="",Jun_2026!$C$74=""),"",1-NORMSDIST((Jun_2026!$C$13-$AA38)/SQRT((Jun_2026!$D$14*Jun_2026!$C$74)^2+Jun_2026!$F$14^2))),"")</f>
        <v>5.4182571598991869E-3</v>
      </c>
    </row>
    <row r="39" spans="1:28" x14ac:dyDescent="0.2">
      <c r="A39" s="23" t="s">
        <v>115</v>
      </c>
      <c r="B39" s="22">
        <v>0.47199999999999998</v>
      </c>
      <c r="C39" s="22">
        <v>0.39150000000000001</v>
      </c>
      <c r="D39" s="24"/>
      <c r="E39" s="48">
        <v>6</v>
      </c>
      <c r="F39" s="49">
        <v>1659.22</v>
      </c>
      <c r="G39" s="24"/>
      <c r="H39" s="25">
        <f>IF(ISNUMBER($B39),$B39,IF(ISNUMBER($C39),$C39,""))</f>
        <v>0.47199999999999998</v>
      </c>
      <c r="I39" s="25">
        <f>IF(COUNT($B$20:$B39)=0,"",AVERAGE($B$20:$B39))</f>
        <v>0.55919999999999992</v>
      </c>
      <c r="J39" s="25">
        <f>IF(AND(ISNUMBER($B39),ISNUMBER($C39)),$B39-$C39,"")</f>
        <v>8.049999999999996E-2</v>
      </c>
      <c r="K39" s="25" t="str">
        <f>IF(AND(ISNUMBER($B39),ISNUMBER(#REF!)),$B39-#REF!,"")</f>
        <v/>
      </c>
      <c r="L39" s="25" t="str">
        <f>IF(AND(ISNUMBER($B39),ISNUMBER(#REF!)),$B39-#REF!,"")</f>
        <v/>
      </c>
      <c r="M39" s="26">
        <f>IF(ISNUMBER($J39),ABS($J39),"")</f>
        <v>8.049999999999996E-2</v>
      </c>
      <c r="N39" s="27">
        <f>IF(ISNUMBER($J39),$J39^2,"")</f>
        <v>6.4802499999999938E-3</v>
      </c>
      <c r="O39" s="26" t="str">
        <f>IF(ISNUMBER($K39),ABS($K39),"")</f>
        <v/>
      </c>
      <c r="P39" s="27" t="str">
        <f>IF(ISNUMBER($K39),$K39^2,"")</f>
        <v/>
      </c>
      <c r="Q39" s="26" t="str">
        <f>IF(ISNUMBER($L39),ABS($L39),"")</f>
        <v/>
      </c>
      <c r="R39" s="27" t="str">
        <f>IF(ISNUMBER($L39),$L39^2,"")</f>
        <v/>
      </c>
      <c r="S39" s="27">
        <f>IF(ISNUMBER($B39),($B39-$C$17)^2,"")</f>
        <v>9.6224039999999954E-4</v>
      </c>
      <c r="T39" s="26" t="str">
        <f>IF(AND($B39="",ISNUMBER($D39)),$D39,"")</f>
        <v/>
      </c>
      <c r="U39" s="54">
        <v>20</v>
      </c>
      <c r="V39" s="55">
        <v>0.55930000000000002</v>
      </c>
      <c r="W39" s="25">
        <f>IF(ISNUMBER($V39),Jun_2026!$C$5+Jun_2026!$C$6*$V39,"")</f>
        <v>1.0813574811799354</v>
      </c>
      <c r="X39" s="56">
        <f>IF(ISNUMBER($V39),IFERROR(SQRT((Jun_2026!$C$6*Jun_2026!$C$74)^2+Jun_2026!$C$7^2),""),"")</f>
        <v>3.3529009686032826E-2</v>
      </c>
      <c r="Y39" s="57">
        <f>IF(OR($W39="",$X39="",$X39=0),"",1-NORMSDIST((Jun_2026!$C$4-$W39)/$X39))</f>
        <v>9.9698246339074981E-4</v>
      </c>
      <c r="Z39" s="58">
        <f>IF(ISNUMBER($V39),IF($V39&gt;=Jun_2026!$C$9,1,0),"")</f>
        <v>0</v>
      </c>
      <c r="AA39" s="25">
        <f>IF(ISNUMBER($V39),Jun_2026!$C$14+Jun_2026!$D$14*$V39,"")</f>
        <v>1.11422826</v>
      </c>
      <c r="AB39" s="57">
        <f>IFERROR(IF(OR($AA39="",Jun_2026!$C$74=""),"",1-NORMSDIST((Jun_2026!$C$13-$AA39)/SQRT((Jun_2026!$D$14*Jun_2026!$C$74)^2+Jun_2026!$F$14^2))),"")</f>
        <v>5.4182571598991869E-3</v>
      </c>
    </row>
    <row r="40" spans="1:28" x14ac:dyDescent="0.2">
      <c r="A40" s="23" t="s">
        <v>116</v>
      </c>
      <c r="B40" s="22">
        <v>0.52900000000000003</v>
      </c>
      <c r="C40" s="22">
        <v>0.54659999999999997</v>
      </c>
      <c r="D40" s="24"/>
      <c r="E40" s="48">
        <v>6</v>
      </c>
      <c r="F40" s="49">
        <v>1167.58</v>
      </c>
      <c r="G40" s="24"/>
      <c r="H40" s="25">
        <f>IF(ISNUMBER($B40),$B40,IF(ISNUMBER($C40),$C40,""))</f>
        <v>0.52900000000000003</v>
      </c>
      <c r="I40" s="25">
        <f>IF(COUNT($B$20:$B40)=0,"",AVERAGE($B$20:$B40))</f>
        <v>0.55776190476190468</v>
      </c>
      <c r="J40" s="25">
        <f>IF(AND(ISNUMBER($B40),ISNUMBER($C40)),$B40-$C40,"")</f>
        <v>-1.7599999999999949E-2</v>
      </c>
      <c r="K40" s="25" t="str">
        <f>IF(AND(ISNUMBER($B40),ISNUMBER(#REF!)),$B40-#REF!,"")</f>
        <v/>
      </c>
      <c r="L40" s="25" t="str">
        <f>IF(AND(ISNUMBER($B40),ISNUMBER(#REF!)),$B40-#REF!,"")</f>
        <v/>
      </c>
      <c r="M40" s="26">
        <f>IF(ISNUMBER($J40),ABS($J40),"")</f>
        <v>1.7599999999999949E-2</v>
      </c>
      <c r="N40" s="27">
        <f>IF(ISNUMBER($J40),$J40^2,"")</f>
        <v>3.0975999999999823E-4</v>
      </c>
      <c r="O40" s="26" t="str">
        <f>IF(ISNUMBER($K40),ABS($K40),"")</f>
        <v/>
      </c>
      <c r="P40" s="27" t="str">
        <f>IF(ISNUMBER($K40),$K40^2,"")</f>
        <v/>
      </c>
      <c r="Q40" s="26" t="str">
        <f>IF(ISNUMBER($L40),ABS($L40),"")</f>
        <v/>
      </c>
      <c r="R40" s="27" t="str">
        <f>IF(ISNUMBER($L40),$L40^2,"")</f>
        <v/>
      </c>
      <c r="S40" s="27">
        <f>IF(ISNUMBER($B40),($B40-$C$17)^2,"")</f>
        <v>7.7475204000000079E-3</v>
      </c>
      <c r="T40" s="26" t="str">
        <f>IF(AND($B40="",ISNUMBER($D40)),$D40,"")</f>
        <v/>
      </c>
      <c r="U40" s="54">
        <v>21</v>
      </c>
      <c r="V40" s="55">
        <v>0.55930000000000002</v>
      </c>
      <c r="W40" s="25">
        <f>IF(ISNUMBER($V40),Jun_2026!$C$5+Jun_2026!$C$6*$V40,"")</f>
        <v>1.0813574811799354</v>
      </c>
      <c r="X40" s="56">
        <f>IF(ISNUMBER($V40),IFERROR(SQRT((Jun_2026!$C$6*Jun_2026!$C$74)^2+Jun_2026!$C$7^2),""),"")</f>
        <v>3.3529009686032826E-2</v>
      </c>
      <c r="Y40" s="57">
        <f>IF(OR($W40="",$X40="",$X40=0),"",1-NORMSDIST((Jun_2026!$C$4-$W40)/$X40))</f>
        <v>9.9698246339074981E-4</v>
      </c>
      <c r="Z40" s="58">
        <f>IF(ISNUMBER($V40),IF($V40&gt;=Jun_2026!$C$9,1,0),"")</f>
        <v>0</v>
      </c>
      <c r="AA40" s="25">
        <f>IF(ISNUMBER($V40),Jun_2026!$C$14+Jun_2026!$D$14*$V40,"")</f>
        <v>1.11422826</v>
      </c>
      <c r="AB40" s="57">
        <f>IFERROR(IF(OR($AA40="",Jun_2026!$C$74=""),"",1-NORMSDIST((Jun_2026!$C$13-$AA40)/SQRT((Jun_2026!$D$14*Jun_2026!$C$74)^2+Jun_2026!$F$14^2))),"")</f>
        <v>5.4182571598991869E-3</v>
      </c>
    </row>
    <row r="41" spans="1:28" x14ac:dyDescent="0.2">
      <c r="A41" s="23" t="s">
        <v>117</v>
      </c>
      <c r="B41" s="22">
        <v>0.54700000000000004</v>
      </c>
      <c r="C41" s="22">
        <v>0.59499999999999997</v>
      </c>
      <c r="D41" s="24"/>
      <c r="E41" s="48">
        <v>3</v>
      </c>
      <c r="F41" s="49">
        <v>428.88</v>
      </c>
      <c r="G41" s="24"/>
      <c r="H41" s="25">
        <f>IF(ISNUMBER($B41),$B41,IF(ISNUMBER($C41),$C41,""))</f>
        <v>0.54700000000000004</v>
      </c>
      <c r="I41" s="25">
        <f>IF(COUNT($B$20:$B41)=0,"",AVERAGE($B$20:$B41))</f>
        <v>0.55727272727272725</v>
      </c>
      <c r="J41" s="25">
        <f>IF(AND(ISNUMBER($B41),ISNUMBER($C41)),$B41-$C41,"")</f>
        <v>-4.7999999999999932E-2</v>
      </c>
      <c r="K41" s="25" t="str">
        <f>IF(AND(ISNUMBER($B41),ISNUMBER(#REF!)),$B41-#REF!,"")</f>
        <v/>
      </c>
      <c r="L41" s="25" t="str">
        <f>IF(AND(ISNUMBER($B41),ISNUMBER(#REF!)),$B41-#REF!,"")</f>
        <v/>
      </c>
      <c r="M41" s="26">
        <f>IF(ISNUMBER($J41),ABS($J41),"")</f>
        <v>4.7999999999999932E-2</v>
      </c>
      <c r="N41" s="27">
        <f>IF(ISNUMBER($J41),$J41^2,"")</f>
        <v>2.3039999999999936E-3</v>
      </c>
      <c r="O41" s="26" t="str">
        <f>IF(ISNUMBER($K41),ABS($K41),"")</f>
        <v/>
      </c>
      <c r="P41" s="27" t="str">
        <f>IF(ISNUMBER($K41),$K41^2,"")</f>
        <v/>
      </c>
      <c r="Q41" s="26" t="str">
        <f>IF(ISNUMBER($L41),ABS($L41),"")</f>
        <v/>
      </c>
      <c r="R41" s="27" t="str">
        <f>IF(ISNUMBER($L41),$L41^2,"")</f>
        <v/>
      </c>
      <c r="S41" s="27">
        <f>IF(ISNUMBER($B41),($B41-$C$17)^2,"")</f>
        <v>1.1240240400000013E-2</v>
      </c>
      <c r="T41" s="26" t="str">
        <f>IF(AND($B41="",ISNUMBER($D41)),$D41,"")</f>
        <v/>
      </c>
      <c r="U41" s="54">
        <v>22</v>
      </c>
      <c r="V41" s="55">
        <v>0.55930000000000002</v>
      </c>
      <c r="W41" s="25">
        <f>IF(ISNUMBER($V41),Jun_2026!$C$5+Jun_2026!$C$6*$V41,"")</f>
        <v>1.0813574811799354</v>
      </c>
      <c r="X41" s="56">
        <f>IF(ISNUMBER($V41),IFERROR(SQRT((Jun_2026!$C$6*Jun_2026!$C$74)^2+Jun_2026!$C$7^2),""),"")</f>
        <v>3.3529009686032826E-2</v>
      </c>
      <c r="Y41" s="57">
        <f>IF(OR($W41="",$X41="",$X41=0),"",1-NORMSDIST((Jun_2026!$C$4-$W41)/$X41))</f>
        <v>9.9698246339074981E-4</v>
      </c>
      <c r="Z41" s="58">
        <f>IF(ISNUMBER($V41),IF($V41&gt;=Jun_2026!$C$9,1,0),"")</f>
        <v>0</v>
      </c>
      <c r="AA41" s="25">
        <f>IF(ISNUMBER($V41),Jun_2026!$C$14+Jun_2026!$D$14*$V41,"")</f>
        <v>1.11422826</v>
      </c>
      <c r="AB41" s="57">
        <f>IFERROR(IF(OR($AA41="",Jun_2026!$C$74=""),"",1-NORMSDIST((Jun_2026!$C$13-$AA41)/SQRT((Jun_2026!$D$14*Jun_2026!$C$74)^2+Jun_2026!$F$14^2))),"")</f>
        <v>5.4182571598991869E-3</v>
      </c>
    </row>
    <row r="42" spans="1:28" x14ac:dyDescent="0.2">
      <c r="A42" s="23" t="s">
        <v>118</v>
      </c>
      <c r="B42" s="22">
        <v>0.47899999999999998</v>
      </c>
      <c r="C42" s="22">
        <v>0.50139999999999996</v>
      </c>
      <c r="D42" s="24"/>
      <c r="E42" s="48">
        <v>4</v>
      </c>
      <c r="F42" s="49">
        <v>982.83</v>
      </c>
      <c r="G42" s="24"/>
      <c r="H42" s="25">
        <f>IF(ISNUMBER($B42),$B42,IF(ISNUMBER($C42),$C42,""))</f>
        <v>0.47899999999999998</v>
      </c>
      <c r="I42" s="25">
        <f>IF(COUNT($B$20:$B42)=0,"",AVERAGE($B$20:$B42))</f>
        <v>0.55386956521739128</v>
      </c>
      <c r="J42" s="25">
        <f>IF(AND(ISNUMBER($B42),ISNUMBER($C42)),$B42-$C42,"")</f>
        <v>-2.2399999999999975E-2</v>
      </c>
      <c r="K42" s="25" t="str">
        <f>IF(AND(ISNUMBER($B42),ISNUMBER(#REF!)),$B42-#REF!,"")</f>
        <v/>
      </c>
      <c r="L42" s="25" t="str">
        <f>IF(AND(ISNUMBER($B42),ISNUMBER(#REF!)),$B42-#REF!,"")</f>
        <v/>
      </c>
      <c r="M42" s="26">
        <f>IF(ISNUMBER($J42),ABS($J42),"")</f>
        <v>2.2399999999999975E-2</v>
      </c>
      <c r="N42" s="27">
        <f>IF(ISNUMBER($J42),$J42^2,"")</f>
        <v>5.0175999999999888E-4</v>
      </c>
      <c r="O42" s="26" t="str">
        <f>IF(ISNUMBER($K42),ABS($K42),"")</f>
        <v/>
      </c>
      <c r="P42" s="27" t="str">
        <f>IF(ISNUMBER($K42),$K42^2,"")</f>
        <v/>
      </c>
      <c r="Q42" s="26" t="str">
        <f>IF(ISNUMBER($L42),ABS($L42),"")</f>
        <v/>
      </c>
      <c r="R42" s="27" t="str">
        <f>IF(ISNUMBER($L42),$L42^2,"")</f>
        <v/>
      </c>
      <c r="S42" s="27">
        <f>IF(ISNUMBER($B42),($B42-$C$17)^2,"")</f>
        <v>1.4455204E-3</v>
      </c>
      <c r="T42" s="26" t="str">
        <f>IF(AND($B42="",ISNUMBER($D42)),$D42,"")</f>
        <v/>
      </c>
      <c r="U42" s="54">
        <v>23</v>
      </c>
      <c r="V42" s="55">
        <v>0.55930000000000002</v>
      </c>
      <c r="W42" s="25">
        <f>IF(ISNUMBER($V42),Jun_2026!$C$5+Jun_2026!$C$6*$V42,"")</f>
        <v>1.0813574811799354</v>
      </c>
      <c r="X42" s="56">
        <f>IF(ISNUMBER($V42),IFERROR(SQRT((Jun_2026!$C$6*Jun_2026!$C$74)^2+Jun_2026!$C$7^2),""),"")</f>
        <v>3.3529009686032826E-2</v>
      </c>
      <c r="Y42" s="57">
        <f>IF(OR($W42="",$X42="",$X42=0),"",1-NORMSDIST((Jun_2026!$C$4-$W42)/$X42))</f>
        <v>9.9698246339074981E-4</v>
      </c>
      <c r="Z42" s="58">
        <f>IF(ISNUMBER($V42),IF($V42&gt;=Jun_2026!$C$9,1,0),"")</f>
        <v>0</v>
      </c>
      <c r="AA42" s="25">
        <f>IF(ISNUMBER($V42),Jun_2026!$C$14+Jun_2026!$D$14*$V42,"")</f>
        <v>1.11422826</v>
      </c>
      <c r="AB42" s="57">
        <f>IFERROR(IF(OR($AA42="",Jun_2026!$C$74=""),"",1-NORMSDIST((Jun_2026!$C$13-$AA42)/SQRT((Jun_2026!$D$14*Jun_2026!$C$74)^2+Jun_2026!$F$14^2))),"")</f>
        <v>5.4182571598991869E-3</v>
      </c>
    </row>
    <row r="43" spans="1:28" x14ac:dyDescent="0.2">
      <c r="A43" s="23" t="s">
        <v>119</v>
      </c>
      <c r="B43" s="22">
        <v>0.442</v>
      </c>
      <c r="C43" s="22">
        <v>0.497</v>
      </c>
      <c r="D43" s="24"/>
      <c r="E43" s="48">
        <v>4</v>
      </c>
      <c r="F43" s="49">
        <v>721.82</v>
      </c>
      <c r="G43" s="24"/>
      <c r="H43" s="25">
        <f>IF(ISNUMBER($B43),$B43,IF(ISNUMBER($C43),$C43,""))</f>
        <v>0.442</v>
      </c>
      <c r="I43" s="25">
        <f>IF(COUNT($B$20:$B43)=0,"",AVERAGE($B$20:$B43))</f>
        <v>0.5492083333333333</v>
      </c>
      <c r="J43" s="25">
        <f>IF(AND(ISNUMBER($B43),ISNUMBER($C43)),$B43-$C43,"")</f>
        <v>-5.4999999999999993E-2</v>
      </c>
      <c r="K43" s="25" t="str">
        <f>IF(AND(ISNUMBER($B43),ISNUMBER(#REF!)),$B43-#REF!,"")</f>
        <v/>
      </c>
      <c r="L43" s="25" t="str">
        <f>IF(AND(ISNUMBER($B43),ISNUMBER(#REF!)),$B43-#REF!,"")</f>
        <v/>
      </c>
      <c r="M43" s="26">
        <f>IF(ISNUMBER($J43),ABS($J43),"")</f>
        <v>5.4999999999999993E-2</v>
      </c>
      <c r="N43" s="27">
        <f>IF(ISNUMBER($J43),$J43^2,"")</f>
        <v>3.0249999999999995E-3</v>
      </c>
      <c r="O43" s="26" t="str">
        <f>IF(ISNUMBER($K43),ABS($K43),"")</f>
        <v/>
      </c>
      <c r="P43" s="27" t="str">
        <f>IF(ISNUMBER($K43),$K43^2,"")</f>
        <v/>
      </c>
      <c r="Q43" s="26" t="str">
        <f>IF(ISNUMBER($L43),ABS($L43),"")</f>
        <v/>
      </c>
      <c r="R43" s="27" t="str">
        <f>IF(ISNUMBER($L43),$L43^2,"")</f>
        <v/>
      </c>
      <c r="S43" s="27">
        <f>IF(ISNUMBER($B43),($B43-$C$17)^2,"")</f>
        <v>1.0404000000000426E-6</v>
      </c>
      <c r="T43" s="26" t="str">
        <f>IF(AND($B43="",ISNUMBER($D43)),$D43,"")</f>
        <v/>
      </c>
      <c r="U43" s="54">
        <v>24</v>
      </c>
      <c r="V43" s="55">
        <v>0.55930000000000002</v>
      </c>
      <c r="W43" s="25">
        <f>IF(ISNUMBER($V43),Jun_2026!$C$5+Jun_2026!$C$6*$V43,"")</f>
        <v>1.0813574811799354</v>
      </c>
      <c r="X43" s="56">
        <f>IF(ISNUMBER($V43),IFERROR(SQRT((Jun_2026!$C$6*Jun_2026!$C$74)^2+Jun_2026!$C$7^2),""),"")</f>
        <v>3.3529009686032826E-2</v>
      </c>
      <c r="Y43" s="57">
        <f>IF(OR($W43="",$X43="",$X43=0),"",1-NORMSDIST((Jun_2026!$C$4-$W43)/$X43))</f>
        <v>9.9698246339074981E-4</v>
      </c>
      <c r="Z43" s="58">
        <f>IF(ISNUMBER($V43),IF($V43&gt;=Jun_2026!$C$9,1,0),"")</f>
        <v>0</v>
      </c>
      <c r="AA43" s="25">
        <f>IF(ISNUMBER($V43),Jun_2026!$C$14+Jun_2026!$D$14*$V43,"")</f>
        <v>1.11422826</v>
      </c>
      <c r="AB43" s="57">
        <f>IFERROR(IF(OR($AA43="",Jun_2026!$C$74=""),"",1-NORMSDIST((Jun_2026!$C$13-$AA43)/SQRT((Jun_2026!$D$14*Jun_2026!$C$74)^2+Jun_2026!$F$14^2))),"")</f>
        <v>5.4182571598991869E-3</v>
      </c>
    </row>
    <row r="44" spans="1:28" x14ac:dyDescent="0.2">
      <c r="A44" s="23" t="s">
        <v>120</v>
      </c>
      <c r="B44" s="22">
        <v>0.48799999999999999</v>
      </c>
      <c r="C44" s="22">
        <v>0.54149999999999998</v>
      </c>
      <c r="D44" s="24"/>
      <c r="E44" s="48">
        <v>5</v>
      </c>
      <c r="F44" s="49">
        <v>748.13</v>
      </c>
      <c r="G44" s="24"/>
      <c r="H44" s="25">
        <f>IF(ISNUMBER($B44),$B44,IF(ISNUMBER($C44),$C44,""))</f>
        <v>0.48799999999999999</v>
      </c>
      <c r="I44" s="25">
        <f>IF(COUNT($B$20:$B44)=0,"",AVERAGE($B$20:$B44))</f>
        <v>0.54675999999999991</v>
      </c>
      <c r="J44" s="25">
        <f>IF(AND(ISNUMBER($B44),ISNUMBER($C44)),$B44-$C44,"")</f>
        <v>-5.3499999999999992E-2</v>
      </c>
      <c r="K44" s="25" t="str">
        <f>IF(AND(ISNUMBER($B44),ISNUMBER(#REF!)),$B44-#REF!,"")</f>
        <v/>
      </c>
      <c r="L44" s="25" t="str">
        <f>IF(AND(ISNUMBER($B44),ISNUMBER(#REF!)),$B44-#REF!,"")</f>
        <v/>
      </c>
      <c r="M44" s="26">
        <f>IF(ISNUMBER($J44),ABS($J44),"")</f>
        <v>5.3499999999999992E-2</v>
      </c>
      <c r="N44" s="27">
        <f>IF(ISNUMBER($J44),$J44^2,"")</f>
        <v>2.8622499999999993E-3</v>
      </c>
      <c r="O44" s="26" t="str">
        <f>IF(ISNUMBER($K44),ABS($K44),"")</f>
        <v/>
      </c>
      <c r="P44" s="27" t="str">
        <f>IF(ISNUMBER($K44),$K44^2,"")</f>
        <v/>
      </c>
      <c r="Q44" s="26" t="str">
        <f>IF(ISNUMBER($L44),ABS($L44),"")</f>
        <v/>
      </c>
      <c r="R44" s="27" t="str">
        <f>IF(ISNUMBER($L44),$L44^2,"")</f>
        <v/>
      </c>
      <c r="S44" s="27">
        <f>IF(ISNUMBER($B44),($B44-$C$17)^2,"")</f>
        <v>2.2108804000000007E-3</v>
      </c>
      <c r="T44" s="26" t="str">
        <f>IF(AND($B44="",ISNUMBER($D44)),$D44,"")</f>
        <v/>
      </c>
      <c r="U44" s="54">
        <v>25</v>
      </c>
      <c r="V44" s="55">
        <v>0.55930000000000002</v>
      </c>
      <c r="W44" s="25">
        <f>IF(ISNUMBER($V44),Jun_2026!$C$5+Jun_2026!$C$6*$V44,"")</f>
        <v>1.0813574811799354</v>
      </c>
      <c r="X44" s="56">
        <f>IF(ISNUMBER($V44),IFERROR(SQRT((Jun_2026!$C$6*Jun_2026!$C$74)^2+Jun_2026!$C$7^2),""),"")</f>
        <v>3.3529009686032826E-2</v>
      </c>
      <c r="Y44" s="57">
        <f>IF(OR($W44="",$X44="",$X44=0),"",1-NORMSDIST((Jun_2026!$C$4-$W44)/$X44))</f>
        <v>9.9698246339074981E-4</v>
      </c>
      <c r="Z44" s="58">
        <f>IF(ISNUMBER($V44),IF($V44&gt;=Jun_2026!$C$9,1,0),"")</f>
        <v>0</v>
      </c>
      <c r="AA44" s="25">
        <f>IF(ISNUMBER($V44),Jun_2026!$C$14+Jun_2026!$D$14*$V44,"")</f>
        <v>1.11422826</v>
      </c>
      <c r="AB44" s="57">
        <f>IFERROR(IF(OR($AA44="",Jun_2026!$C$74=""),"",1-NORMSDIST((Jun_2026!$C$13-$AA44)/SQRT((Jun_2026!$D$14*Jun_2026!$C$74)^2+Jun_2026!$F$14^2))),"")</f>
        <v>5.4182571598991869E-3</v>
      </c>
    </row>
    <row r="45" spans="1:28" x14ac:dyDescent="0.2">
      <c r="A45" s="23" t="s">
        <v>121</v>
      </c>
      <c r="B45" s="22">
        <v>0.57299999999999995</v>
      </c>
      <c r="C45" s="22">
        <v>0.55769999999999997</v>
      </c>
      <c r="D45" s="24"/>
      <c r="E45" s="48">
        <v>3</v>
      </c>
      <c r="F45" s="49">
        <v>1069.21</v>
      </c>
      <c r="G45" s="24"/>
      <c r="H45" s="25">
        <f>IF(ISNUMBER($B45),$B45,IF(ISNUMBER($C45),$C45,""))</f>
        <v>0.57299999999999995</v>
      </c>
      <c r="I45" s="25">
        <f>IF(COUNT($B$20:$B45)=0,"",AVERAGE($B$20:$B45))</f>
        <v>0.54776923076923079</v>
      </c>
      <c r="J45" s="25">
        <f>IF(AND(ISNUMBER($B45),ISNUMBER($C45)),$B45-$C45,"")</f>
        <v>1.529999999999998E-2</v>
      </c>
      <c r="K45" s="25" t="str">
        <f>IF(AND(ISNUMBER($B45),ISNUMBER(#REF!)),$B45-#REF!,"")</f>
        <v/>
      </c>
      <c r="L45" s="25" t="str">
        <f>IF(AND(ISNUMBER($B45),ISNUMBER(#REF!)),$B45-#REF!,"")</f>
        <v/>
      </c>
      <c r="M45" s="26">
        <f>IF(ISNUMBER($J45),ABS($J45),"")</f>
        <v>1.529999999999998E-2</v>
      </c>
      <c r="N45" s="27">
        <f>IF(ISNUMBER($J45),$J45^2,"")</f>
        <v>2.3408999999999941E-4</v>
      </c>
      <c r="O45" s="26" t="str">
        <f>IF(ISNUMBER($K45),ABS($K45),"")</f>
        <v/>
      </c>
      <c r="P45" s="27" t="str">
        <f>IF(ISNUMBER($K45),$K45^2,"")</f>
        <v/>
      </c>
      <c r="Q45" s="26" t="str">
        <f>IF(ISNUMBER($L45),ABS($L45),"")</f>
        <v/>
      </c>
      <c r="R45" s="27" t="str">
        <f>IF(ISNUMBER($L45),$L45^2,"")</f>
        <v/>
      </c>
      <c r="S45" s="27">
        <f>IF(ISNUMBER($B45),($B45-$C$17)^2,"")</f>
        <v>1.7429280399999993E-2</v>
      </c>
      <c r="T45" s="26" t="str">
        <f>IF(AND($B45="",ISNUMBER($D45)),$D45,"")</f>
        <v/>
      </c>
      <c r="U45" s="54">
        <v>26</v>
      </c>
      <c r="V45" s="55">
        <v>0.55930000000000002</v>
      </c>
      <c r="W45" s="25">
        <f>IF(ISNUMBER($V45),Jun_2026!$C$5+Jun_2026!$C$6*$V45,"")</f>
        <v>1.0813574811799354</v>
      </c>
      <c r="X45" s="56">
        <f>IF(ISNUMBER($V45),IFERROR(SQRT((Jun_2026!$C$6*Jun_2026!$C$74)^2+Jun_2026!$C$7^2),""),"")</f>
        <v>3.3529009686032826E-2</v>
      </c>
      <c r="Y45" s="57">
        <f>IF(OR($W45="",$X45="",$X45=0),"",1-NORMSDIST((Jun_2026!$C$4-$W45)/$X45))</f>
        <v>9.9698246339074981E-4</v>
      </c>
      <c r="Z45" s="58">
        <f>IF(ISNUMBER($V45),IF($V45&gt;=Jun_2026!$C$9,1,0),"")</f>
        <v>0</v>
      </c>
      <c r="AA45" s="25">
        <f>IF(ISNUMBER($V45),Jun_2026!$C$14+Jun_2026!$D$14*$V45,"")</f>
        <v>1.11422826</v>
      </c>
      <c r="AB45" s="57">
        <f>IFERROR(IF(OR($AA45="",Jun_2026!$C$74=""),"",1-NORMSDIST((Jun_2026!$C$13-$AA45)/SQRT((Jun_2026!$D$14*Jun_2026!$C$74)^2+Jun_2026!$F$14^2))),"")</f>
        <v>5.4182571598991869E-3</v>
      </c>
    </row>
    <row r="46" spans="1:28" x14ac:dyDescent="0.2">
      <c r="A46" s="23" t="s">
        <v>122</v>
      </c>
      <c r="B46" s="22">
        <v>0.60899999999999999</v>
      </c>
      <c r="C46" s="22">
        <v>0.73199999999999998</v>
      </c>
      <c r="D46" s="24"/>
      <c r="E46" s="48">
        <v>3</v>
      </c>
      <c r="F46" s="49">
        <v>236.95</v>
      </c>
      <c r="G46" s="24"/>
      <c r="H46" s="25">
        <f>IF(ISNUMBER($B46),$B46,IF(ISNUMBER($C46),$C46,""))</f>
        <v>0.60899999999999999</v>
      </c>
      <c r="I46" s="25">
        <f>IF(COUNT($B$20:$B46)=0,"",AVERAGE($B$20:$B46))</f>
        <v>0.55003703703703699</v>
      </c>
      <c r="J46" s="25">
        <f>IF(AND(ISNUMBER($B46),ISNUMBER($C46)),$B46-$C46,"")</f>
        <v>-0.123</v>
      </c>
      <c r="K46" s="25" t="str">
        <f>IF(AND(ISNUMBER($B46),ISNUMBER(#REF!)),$B46-#REF!,"")</f>
        <v/>
      </c>
      <c r="L46" s="25" t="str">
        <f>IF(AND(ISNUMBER($B46),ISNUMBER(#REF!)),$B46-#REF!,"")</f>
        <v/>
      </c>
      <c r="M46" s="26">
        <f>IF(ISNUMBER($J46),ABS($J46),"")</f>
        <v>0.123</v>
      </c>
      <c r="N46" s="27">
        <f>IF(ISNUMBER($J46),$J46^2,"")</f>
        <v>1.5129E-2</v>
      </c>
      <c r="O46" s="26" t="str">
        <f>IF(ISNUMBER($K46),ABS($K46),"")</f>
        <v/>
      </c>
      <c r="P46" s="27" t="str">
        <f>IF(ISNUMBER($K46),$K46^2,"")</f>
        <v/>
      </c>
      <c r="Q46" s="26" t="str">
        <f>IF(ISNUMBER($L46),ABS($L46),"")</f>
        <v/>
      </c>
      <c r="R46" s="27" t="str">
        <f>IF(ISNUMBER($L46),$L46^2,"")</f>
        <v/>
      </c>
      <c r="S46" s="27">
        <f>IF(ISNUMBER($B46),($B46-$C$17)^2,"")</f>
        <v>2.8230720399999999E-2</v>
      </c>
      <c r="T46" s="26" t="str">
        <f>IF(AND($B46="",ISNUMBER($D46)),$D46,"")</f>
        <v/>
      </c>
      <c r="U46" s="54">
        <v>27</v>
      </c>
      <c r="V46" s="55">
        <v>0.55930000000000002</v>
      </c>
      <c r="W46" s="25">
        <f>IF(ISNUMBER($V46),Jun_2026!$C$5+Jun_2026!$C$6*$V46,"")</f>
        <v>1.0813574811799354</v>
      </c>
      <c r="X46" s="56">
        <f>IF(ISNUMBER($V46),IFERROR(SQRT((Jun_2026!$C$6*Jun_2026!$C$74)^2+Jun_2026!$C$7^2),""),"")</f>
        <v>3.3529009686032826E-2</v>
      </c>
      <c r="Y46" s="57">
        <f>IF(OR($W46="",$X46="",$X46=0),"",1-NORMSDIST((Jun_2026!$C$4-$W46)/$X46))</f>
        <v>9.9698246339074981E-4</v>
      </c>
      <c r="Z46" s="58">
        <f>IF(ISNUMBER($V46),IF($V46&gt;=Jun_2026!$C$9,1,0),"")</f>
        <v>0</v>
      </c>
      <c r="AA46" s="25">
        <f>IF(ISNUMBER($V46),Jun_2026!$C$14+Jun_2026!$D$14*$V46,"")</f>
        <v>1.11422826</v>
      </c>
      <c r="AB46" s="57">
        <f>IFERROR(IF(OR($AA46="",Jun_2026!$C$74=""),"",1-NORMSDIST((Jun_2026!$C$13-$AA46)/SQRT((Jun_2026!$D$14*Jun_2026!$C$74)^2+Jun_2026!$F$14^2))),"")</f>
        <v>5.4182571598991869E-3</v>
      </c>
    </row>
    <row r="47" spans="1:28" x14ac:dyDescent="0.2">
      <c r="A47" s="23" t="s">
        <v>123</v>
      </c>
      <c r="B47" s="22">
        <v>0.65300000000000002</v>
      </c>
      <c r="C47" s="22">
        <v>0.88</v>
      </c>
      <c r="D47" s="24"/>
      <c r="E47" s="48">
        <v>5</v>
      </c>
      <c r="F47" s="49">
        <v>774.95</v>
      </c>
      <c r="G47" s="24"/>
      <c r="H47" s="25">
        <f>IF(ISNUMBER($B47),$B47,IF(ISNUMBER($C47),$C47,""))</f>
        <v>0.65300000000000002</v>
      </c>
      <c r="I47" s="25">
        <f>IF(COUNT($B$20:$B47)=0,"",AVERAGE($B$20:$B47))</f>
        <v>0.55371428571428571</v>
      </c>
      <c r="J47" s="25">
        <f>IF(AND(ISNUMBER($B47),ISNUMBER($C47)),$B47-$C47,"")</f>
        <v>-0.22699999999999998</v>
      </c>
      <c r="K47" s="25" t="str">
        <f>IF(AND(ISNUMBER($B47),ISNUMBER(#REF!)),$B47-#REF!,"")</f>
        <v/>
      </c>
      <c r="L47" s="25" t="str">
        <f>IF(AND(ISNUMBER($B47),ISNUMBER(#REF!)),$B47-#REF!,"")</f>
        <v/>
      </c>
      <c r="M47" s="26">
        <f>IF(ISNUMBER($J47),ABS($J47),"")</f>
        <v>0.22699999999999998</v>
      </c>
      <c r="N47" s="27">
        <f>IF(ISNUMBER($J47),$J47^2,"")</f>
        <v>5.1528999999999991E-2</v>
      </c>
      <c r="O47" s="26" t="str">
        <f>IF(ISNUMBER($K47),ABS($K47),"")</f>
        <v/>
      </c>
      <c r="P47" s="27" t="str">
        <f>IF(ISNUMBER($K47),$K47^2,"")</f>
        <v/>
      </c>
      <c r="Q47" s="26" t="str">
        <f>IF(ISNUMBER($L47),ABS($L47),"")</f>
        <v/>
      </c>
      <c r="R47" s="27" t="str">
        <f>IF(ISNUMBER($L47),$L47^2,"")</f>
        <v/>
      </c>
      <c r="S47" s="27">
        <f>IF(ISNUMBER($B47),($B47-$C$17)^2,"")</f>
        <v>4.4952480400000015E-2</v>
      </c>
      <c r="T47" s="26" t="str">
        <f>IF(AND($B47="",ISNUMBER($D47)),$D47,"")</f>
        <v/>
      </c>
      <c r="U47" s="54">
        <v>28</v>
      </c>
      <c r="V47" s="55">
        <v>0.55930000000000002</v>
      </c>
      <c r="W47" s="25">
        <f>IF(ISNUMBER($V47),Jun_2026!$C$5+Jun_2026!$C$6*$V47,"")</f>
        <v>1.0813574811799354</v>
      </c>
      <c r="X47" s="56">
        <f>IF(ISNUMBER($V47),IFERROR(SQRT((Jun_2026!$C$6*Jun_2026!$C$74)^2+Jun_2026!$C$7^2),""),"")</f>
        <v>3.3529009686032826E-2</v>
      </c>
      <c r="Y47" s="57">
        <f>IF(OR($W47="",$X47="",$X47=0),"",1-NORMSDIST((Jun_2026!$C$4-$W47)/$X47))</f>
        <v>9.9698246339074981E-4</v>
      </c>
      <c r="Z47" s="58">
        <f>IF(ISNUMBER($V47),IF($V47&gt;=Jun_2026!$C$9,1,0),"")</f>
        <v>0</v>
      </c>
      <c r="AA47" s="25">
        <f>IF(ISNUMBER($V47),Jun_2026!$C$14+Jun_2026!$D$14*$V47,"")</f>
        <v>1.11422826</v>
      </c>
      <c r="AB47" s="57">
        <f>IFERROR(IF(OR($AA47="",Jun_2026!$C$74=""),"",1-NORMSDIST((Jun_2026!$C$13-$AA47)/SQRT((Jun_2026!$D$14*Jun_2026!$C$74)^2+Jun_2026!$F$14^2))),"")</f>
        <v>5.4182571598991869E-3</v>
      </c>
    </row>
    <row r="48" spans="1:28" x14ac:dyDescent="0.2">
      <c r="A48" s="23" t="s">
        <v>124</v>
      </c>
      <c r="B48" s="22">
        <v>0.64</v>
      </c>
      <c r="C48" s="22">
        <v>0.80310000000000004</v>
      </c>
      <c r="D48" s="24"/>
      <c r="E48" s="48">
        <v>1</v>
      </c>
      <c r="F48" s="49">
        <v>1464.24</v>
      </c>
      <c r="G48" s="24"/>
      <c r="H48" s="25">
        <f>IF(ISNUMBER($B48),$B48,IF(ISNUMBER($C48),$C48,""))</f>
        <v>0.64</v>
      </c>
      <c r="I48" s="25">
        <f>IF(COUNT($B$20:$B48)=0,"",AVERAGE($B$20:$B48))</f>
        <v>0.55668965517241376</v>
      </c>
      <c r="J48" s="25">
        <f>IF(AND(ISNUMBER($B48),ISNUMBER($C48)),$B48-$C48,"")</f>
        <v>-0.16310000000000002</v>
      </c>
      <c r="K48" s="25" t="str">
        <f>IF(AND(ISNUMBER($B48),ISNUMBER(#REF!)),$B48-#REF!,"")</f>
        <v/>
      </c>
      <c r="L48" s="25" t="str">
        <f>IF(AND(ISNUMBER($B48),ISNUMBER(#REF!)),$B48-#REF!,"")</f>
        <v/>
      </c>
      <c r="M48" s="26">
        <f>IF(ISNUMBER($J48),ABS($J48),"")</f>
        <v>0.16310000000000002</v>
      </c>
      <c r="N48" s="27">
        <f>IF(ISNUMBER($J48),$J48^2,"")</f>
        <v>2.6601610000000008E-2</v>
      </c>
      <c r="O48" s="26" t="str">
        <f>IF(ISNUMBER($K48),ABS($K48),"")</f>
        <v/>
      </c>
      <c r="P48" s="27" t="str">
        <f>IF(ISNUMBER($K48),$K48^2,"")</f>
        <v/>
      </c>
      <c r="Q48" s="26" t="str">
        <f>IF(ISNUMBER($L48),ABS($L48),"")</f>
        <v/>
      </c>
      <c r="R48" s="27" t="str">
        <f>IF(ISNUMBER($L48),$L48^2,"")</f>
        <v/>
      </c>
      <c r="S48" s="27">
        <f>IF(ISNUMBER($B48),($B48-$C$17)^2,"")</f>
        <v>3.9608960400000011E-2</v>
      </c>
      <c r="T48" s="26" t="str">
        <f>IF(AND($B48="",ISNUMBER($D48)),$D48,"")</f>
        <v/>
      </c>
      <c r="U48" s="54">
        <v>29</v>
      </c>
      <c r="V48" s="55">
        <v>0.55930000000000002</v>
      </c>
      <c r="W48" s="25">
        <f>IF(ISNUMBER($V48),Jun_2026!$C$5+Jun_2026!$C$6*$V48,"")</f>
        <v>1.0813574811799354</v>
      </c>
      <c r="X48" s="56">
        <f>IF(ISNUMBER($V48),IFERROR(SQRT((Jun_2026!$C$6*Jun_2026!$C$74)^2+Jun_2026!$C$7^2),""),"")</f>
        <v>3.3529009686032826E-2</v>
      </c>
      <c r="Y48" s="57">
        <f>IF(OR($W48="",$X48="",$X48=0),"",1-NORMSDIST((Jun_2026!$C$4-$W48)/$X48))</f>
        <v>9.9698246339074981E-4</v>
      </c>
      <c r="Z48" s="58">
        <f>IF(ISNUMBER($V48),IF($V48&gt;=Jun_2026!$C$9,1,0),"")</f>
        <v>0</v>
      </c>
      <c r="AA48" s="25">
        <f>IF(ISNUMBER($V48),Jun_2026!$C$14+Jun_2026!$D$14*$V48,"")</f>
        <v>1.11422826</v>
      </c>
      <c r="AB48" s="57">
        <f>IFERROR(IF(OR($AA48="",Jun_2026!$C$74=""),"",1-NORMSDIST((Jun_2026!$C$13-$AA48)/SQRT((Jun_2026!$D$14*Jun_2026!$C$74)^2+Jun_2026!$F$14^2))),"")</f>
        <v>5.4182571598991869E-3</v>
      </c>
    </row>
    <row r="49" spans="1:28" x14ac:dyDescent="0.2">
      <c r="A49" s="23" t="s">
        <v>125</v>
      </c>
      <c r="B49" s="22">
        <v>0.63500000000000001</v>
      </c>
      <c r="C49" s="22">
        <v>0.69089999999999996</v>
      </c>
      <c r="D49" s="24"/>
      <c r="E49" s="48">
        <v>4</v>
      </c>
      <c r="F49" s="49">
        <v>1797.72</v>
      </c>
      <c r="G49" s="24"/>
      <c r="H49" s="25">
        <f>IF(ISNUMBER($B49),$B49,IF(ISNUMBER($C49),$C49,""))</f>
        <v>0.63500000000000001</v>
      </c>
      <c r="I49" s="25">
        <f>IF(COUNT($B$20:$B49)=0,"",AVERAGE($B$20:$B49))</f>
        <v>0.55930000000000002</v>
      </c>
      <c r="J49" s="25">
        <f>IF(AND(ISNUMBER($B49),ISNUMBER($C49)),$B49-$C49,"")</f>
        <v>-5.589999999999995E-2</v>
      </c>
      <c r="K49" s="25" t="str">
        <f>IF(AND(ISNUMBER($B49),ISNUMBER(#REF!)),$B49-#REF!,"")</f>
        <v/>
      </c>
      <c r="L49" s="25" t="str">
        <f>IF(AND(ISNUMBER($B49),ISNUMBER(#REF!)),$B49-#REF!,"")</f>
        <v/>
      </c>
      <c r="M49" s="26">
        <f>IF(ISNUMBER($J49),ABS($J49),"")</f>
        <v>5.589999999999995E-2</v>
      </c>
      <c r="N49" s="27">
        <f>IF(ISNUMBER($J49),$J49^2,"")</f>
        <v>3.1248099999999944E-3</v>
      </c>
      <c r="O49" s="26" t="str">
        <f>IF(ISNUMBER($K49),ABS($K49),"")</f>
        <v/>
      </c>
      <c r="P49" s="27" t="str">
        <f>IF(ISNUMBER($K49),$K49^2,"")</f>
        <v/>
      </c>
      <c r="Q49" s="26" t="str">
        <f>IF(ISNUMBER($L49),ABS($L49),"")</f>
        <v/>
      </c>
      <c r="R49" s="27" t="str">
        <f>IF(ISNUMBER($L49),$L49^2,"")</f>
        <v/>
      </c>
      <c r="S49" s="27">
        <f>IF(ISNUMBER($B49),($B49-$C$17)^2,"")</f>
        <v>3.7643760400000011E-2</v>
      </c>
      <c r="T49" s="26" t="str">
        <f>IF(AND($B49="",ISNUMBER($D49)),$D49,"")</f>
        <v/>
      </c>
      <c r="U49" s="54">
        <v>30</v>
      </c>
      <c r="V49" s="55">
        <v>0.55930000000000002</v>
      </c>
      <c r="W49" s="25">
        <f>IF(ISNUMBER($V49),Jun_2026!$C$5+Jun_2026!$C$6*$V49,"")</f>
        <v>1.0813574811799354</v>
      </c>
      <c r="X49" s="56">
        <f>IF(ISNUMBER($V49),IFERROR(SQRT((Jun_2026!$C$6*Jun_2026!$C$74)^2+Jun_2026!$C$7^2),""),"")</f>
        <v>3.3529009686032826E-2</v>
      </c>
      <c r="Y49" s="57">
        <f>IF(OR($W49="",$X49="",$X49=0),"",1-NORMSDIST((Jun_2026!$C$4-$W49)/$X49))</f>
        <v>9.9698246339074981E-4</v>
      </c>
      <c r="Z49" s="58">
        <f>IF(ISNUMBER($V49),IF($V49&gt;=Jun_2026!$C$9,1,0),"")</f>
        <v>0</v>
      </c>
      <c r="AA49" s="25">
        <f>IF(ISNUMBER($V49),Jun_2026!$C$14+Jun_2026!$D$14*$V49,"")</f>
        <v>1.11422826</v>
      </c>
      <c r="AB49" s="57">
        <f>IFERROR(IF(OR($AA49="",Jun_2026!$C$74=""),"",1-NORMSDIST((Jun_2026!$C$13-$AA49)/SQRT((Jun_2026!$D$14*Jun_2026!$C$74)^2+Jun_2026!$F$14^2))),"")</f>
        <v>5.4182571598991869E-3</v>
      </c>
    </row>
    <row r="50" spans="1:28" x14ac:dyDescent="0.2">
      <c r="A50" s="23" t="s">
        <v>126</v>
      </c>
      <c r="E50" s="48">
        <v>5</v>
      </c>
      <c r="F50" s="49">
        <v>2166.13</v>
      </c>
      <c r="U50" s="54">
        <v>31</v>
      </c>
      <c r="V50" s="55">
        <v>0.55930000000000002</v>
      </c>
      <c r="W50" s="25">
        <f>IF(ISNUMBER($V50),Jun_2026!$C$5+Jun_2026!$C$6*$V50,"")</f>
        <v>1.0813574811799354</v>
      </c>
      <c r="X50" s="56">
        <f>IF(ISNUMBER($V50),IFERROR(SQRT((Jun_2026!$C$6*Jun_2026!$C$74)^2+Jun_2026!$C$7^2),""),"")</f>
        <v>3.3529009686032826E-2</v>
      </c>
      <c r="Y50" s="57">
        <f>IF(OR($W50="",$X50="",$X50=0),"",1-NORMSDIST((Jun_2026!$C$4-$W50)/$X50))</f>
        <v>9.9698246339074981E-4</v>
      </c>
      <c r="Z50" s="58">
        <f>IF(ISNUMBER($V50),IF($V50&gt;=Jun_2026!$C$9,1,0),"")</f>
        <v>0</v>
      </c>
      <c r="AA50" s="25">
        <f>IF(ISNUMBER($V50),Jun_2026!$C$14+Jun_2026!$D$14*$V50,"")</f>
        <v>1.11422826</v>
      </c>
      <c r="AB50" s="57">
        <f>IFERROR(IF(OR($AA50="",Jun_2026!$C$74=""),"",1-NORMSDIST((Jun_2026!$C$13-$AA50)/SQRT((Jun_2026!$D$14*Jun_2026!$C$74)^2+Jun_2026!$F$14^2))),"")</f>
        <v>5.4182571598991869E-3</v>
      </c>
    </row>
    <row r="51" spans="1:28" x14ac:dyDescent="0.2">
      <c r="A51" s="23" t="s">
        <v>127</v>
      </c>
      <c r="E51" s="48">
        <v>5</v>
      </c>
      <c r="F51" s="49">
        <v>836.56</v>
      </c>
      <c r="U51" s="54">
        <v>32</v>
      </c>
      <c r="V51" s="55">
        <v>0.55930000000000002</v>
      </c>
      <c r="W51" s="25">
        <f>IF(ISNUMBER($V51),Jun_2026!$C$5+Jun_2026!$C$6*$V51,"")</f>
        <v>1.0813574811799354</v>
      </c>
      <c r="X51" s="56">
        <f>IF(ISNUMBER($V51),IFERROR(SQRT((Jun_2026!$C$6*Jun_2026!$C$74)^2+Jun_2026!$C$7^2),""),"")</f>
        <v>3.3529009686032826E-2</v>
      </c>
      <c r="Y51" s="57">
        <f>IF(OR($W51="",$X51="",$X51=0),"",1-NORMSDIST((Jun_2026!$C$4-$W51)/$X51))</f>
        <v>9.9698246339074981E-4</v>
      </c>
      <c r="Z51" s="58">
        <f>IF(ISNUMBER($V51),IF($V51&gt;=Jun_2026!$C$9,1,0),"")</f>
        <v>0</v>
      </c>
      <c r="AA51" s="25">
        <f>IF(ISNUMBER($V51),Jun_2026!$C$14+Jun_2026!$D$14*$V51,"")</f>
        <v>1.11422826</v>
      </c>
      <c r="AB51" s="57">
        <f>IFERROR(IF(OR($AA51="",Jun_2026!$C$74=""),"",1-NORMSDIST((Jun_2026!$C$13-$AA51)/SQRT((Jun_2026!$D$14*Jun_2026!$C$74)^2+Jun_2026!$F$14^2))),"")</f>
        <v>5.4182571598991869E-3</v>
      </c>
    </row>
    <row r="52" spans="1:28" x14ac:dyDescent="0.2">
      <c r="A52" s="23" t="s">
        <v>128</v>
      </c>
      <c r="E52" s="48">
        <v>6</v>
      </c>
      <c r="F52" s="49">
        <v>4397.78</v>
      </c>
      <c r="U52" s="54">
        <v>33</v>
      </c>
      <c r="V52" s="55">
        <v>0.55930000000000002</v>
      </c>
      <c r="W52" s="25">
        <f>IF(ISNUMBER($V52),Jun_2026!$C$5+Jun_2026!$C$6*$V52,"")</f>
        <v>1.0813574811799354</v>
      </c>
      <c r="X52" s="56">
        <f>IF(ISNUMBER($V52),IFERROR(SQRT((Jun_2026!$C$6*Jun_2026!$C$74)^2+Jun_2026!$C$7^2),""),"")</f>
        <v>3.3529009686032826E-2</v>
      </c>
      <c r="Y52" s="57">
        <f>IF(OR($W52="",$X52="",$X52=0),"",1-NORMSDIST((Jun_2026!$C$4-$W52)/$X52))</f>
        <v>9.9698246339074981E-4</v>
      </c>
      <c r="Z52" s="58">
        <f>IF(ISNUMBER($V52),IF($V52&gt;=Jun_2026!$C$9,1,0),"")</f>
        <v>0</v>
      </c>
      <c r="AA52" s="25">
        <f>IF(ISNUMBER($V52),Jun_2026!$C$14+Jun_2026!$D$14*$V52,"")</f>
        <v>1.11422826</v>
      </c>
      <c r="AB52" s="57">
        <f>IFERROR(IF(OR($AA52="",Jun_2026!$C$74=""),"",1-NORMSDIST((Jun_2026!$C$13-$AA52)/SQRT((Jun_2026!$D$14*Jun_2026!$C$74)^2+Jun_2026!$F$14^2))),"")</f>
        <v>5.4182571598991869E-3</v>
      </c>
    </row>
    <row r="53" spans="1:28" x14ac:dyDescent="0.2">
      <c r="A53" s="23" t="s">
        <v>129</v>
      </c>
      <c r="E53" s="48">
        <v>3</v>
      </c>
      <c r="F53" s="49">
        <v>1818.51</v>
      </c>
      <c r="U53" s="54">
        <v>34</v>
      </c>
      <c r="V53" s="55">
        <v>0.55930000000000002</v>
      </c>
      <c r="W53" s="25">
        <f>IF(ISNUMBER($V53),Jun_2026!$C$5+Jun_2026!$C$6*$V53,"")</f>
        <v>1.0813574811799354</v>
      </c>
      <c r="X53" s="56">
        <f>IF(ISNUMBER($V53),IFERROR(SQRT((Jun_2026!$C$6*Jun_2026!$C$74)^2+Jun_2026!$C$7^2),""),"")</f>
        <v>3.3529009686032826E-2</v>
      </c>
      <c r="Y53" s="57">
        <f>IF(OR($W53="",$X53="",$X53=0),"",1-NORMSDIST((Jun_2026!$C$4-$W53)/$X53))</f>
        <v>9.9698246339074981E-4</v>
      </c>
      <c r="Z53" s="58">
        <f>IF(ISNUMBER($V53),IF($V53&gt;=Jun_2026!$C$9,1,0),"")</f>
        <v>0</v>
      </c>
      <c r="AA53" s="25">
        <f>IF(ISNUMBER($V53),Jun_2026!$C$14+Jun_2026!$D$14*$V53,"")</f>
        <v>1.11422826</v>
      </c>
      <c r="AB53" s="57">
        <f>IFERROR(IF(OR($AA53="",Jun_2026!$C$74=""),"",1-NORMSDIST((Jun_2026!$C$13-$AA53)/SQRT((Jun_2026!$D$14*Jun_2026!$C$74)^2+Jun_2026!$F$14^2))),"")</f>
        <v>5.4182571598991869E-3</v>
      </c>
    </row>
    <row r="54" spans="1:28" x14ac:dyDescent="0.2">
      <c r="A54" s="23" t="s">
        <v>130</v>
      </c>
      <c r="E54" s="48">
        <v>3</v>
      </c>
      <c r="F54" s="49">
        <v>3601.23</v>
      </c>
      <c r="U54" s="54">
        <v>35</v>
      </c>
      <c r="V54" s="55">
        <v>0.55930000000000002</v>
      </c>
      <c r="W54" s="25">
        <f>IF(ISNUMBER($V54),Jun_2026!$C$5+Jun_2026!$C$6*$V54,"")</f>
        <v>1.0813574811799354</v>
      </c>
      <c r="X54" s="56">
        <f>IF(ISNUMBER($V54),IFERROR(SQRT((Jun_2026!$C$6*Jun_2026!$C$74)^2+Jun_2026!$C$7^2),""),"")</f>
        <v>3.3529009686032826E-2</v>
      </c>
      <c r="Y54" s="57">
        <f>IF(OR($W54="",$X54="",$X54=0),"",1-NORMSDIST((Jun_2026!$C$4-$W54)/$X54))</f>
        <v>9.9698246339074981E-4</v>
      </c>
      <c r="Z54" s="58">
        <f>IF(ISNUMBER($V54),IF($V54&gt;=Jun_2026!$C$9,1,0),"")</f>
        <v>0</v>
      </c>
      <c r="AA54" s="25">
        <f>IF(ISNUMBER($V54),Jun_2026!$C$14+Jun_2026!$D$14*$V54,"")</f>
        <v>1.11422826</v>
      </c>
      <c r="AB54" s="57">
        <f>IFERROR(IF(OR($AA54="",Jun_2026!$C$74=""),"",1-NORMSDIST((Jun_2026!$C$13-$AA54)/SQRT((Jun_2026!$D$14*Jun_2026!$C$74)^2+Jun_2026!$F$14^2))),"")</f>
        <v>5.4182571598991869E-3</v>
      </c>
    </row>
    <row r="55" spans="1:28" x14ac:dyDescent="0.2">
      <c r="A55" s="23" t="s">
        <v>131</v>
      </c>
      <c r="E55" s="48">
        <v>6</v>
      </c>
      <c r="F55" s="49">
        <v>9645.98</v>
      </c>
      <c r="U55" s="54">
        <v>36</v>
      </c>
      <c r="V55" s="55">
        <v>0.55930000000000002</v>
      </c>
      <c r="W55" s="25">
        <f>IF(ISNUMBER($V55),Jun_2026!$C$5+Jun_2026!$C$6*$V55,"")</f>
        <v>1.0813574811799354</v>
      </c>
      <c r="X55" s="56">
        <f>IF(ISNUMBER($V55),IFERROR(SQRT((Jun_2026!$C$6*Jun_2026!$C$74)^2+Jun_2026!$C$7^2),""),"")</f>
        <v>3.3529009686032826E-2</v>
      </c>
      <c r="Y55" s="57">
        <f>IF(OR($W55="",$X55="",$X55=0),"",1-NORMSDIST((Jun_2026!$C$4-$W55)/$X55))</f>
        <v>9.9698246339074981E-4</v>
      </c>
      <c r="Z55" s="58">
        <f>IF(ISNUMBER($V55),IF($V55&gt;=Jun_2026!$C$9,1,0),"")</f>
        <v>0</v>
      </c>
      <c r="AA55" s="25">
        <f>IF(ISNUMBER($V55),Jun_2026!$C$14+Jun_2026!$D$14*$V55,"")</f>
        <v>1.11422826</v>
      </c>
      <c r="AB55" s="57">
        <f>IFERROR(IF(OR($AA55="",Jun_2026!$C$74=""),"",1-NORMSDIST((Jun_2026!$C$13-$AA55)/SQRT((Jun_2026!$D$14*Jun_2026!$C$74)^2+Jun_2026!$F$14^2))),"")</f>
        <v>5.4182571598991869E-3</v>
      </c>
    </row>
    <row r="56" spans="1:28" x14ac:dyDescent="0.2">
      <c r="A56" s="23" t="s">
        <v>132</v>
      </c>
      <c r="E56" s="48">
        <v>9</v>
      </c>
      <c r="F56" s="49">
        <v>11630.15</v>
      </c>
      <c r="U56" s="54">
        <v>37</v>
      </c>
      <c r="V56" s="55">
        <v>0.55930000000000002</v>
      </c>
      <c r="W56" s="25">
        <f>IF(ISNUMBER($V56),Jun_2026!$C$5+Jun_2026!$C$6*$V56,"")</f>
        <v>1.0813574811799354</v>
      </c>
      <c r="X56" s="56">
        <f>IF(ISNUMBER($V56),IFERROR(SQRT((Jun_2026!$C$6*Jun_2026!$C$74)^2+Jun_2026!$C$7^2),""),"")</f>
        <v>3.3529009686032826E-2</v>
      </c>
      <c r="Y56" s="57">
        <f>IF(OR($W56="",$X56="",$X56=0),"",1-NORMSDIST((Jun_2026!$C$4-$W56)/$X56))</f>
        <v>9.9698246339074981E-4</v>
      </c>
      <c r="Z56" s="58">
        <f>IF(ISNUMBER($V56),IF($V56&gt;=Jun_2026!$C$9,1,0),"")</f>
        <v>0</v>
      </c>
      <c r="AA56" s="25">
        <f>IF(ISNUMBER($V56),Jun_2026!$C$14+Jun_2026!$D$14*$V56,"")</f>
        <v>1.11422826</v>
      </c>
      <c r="AB56" s="57">
        <f>IFERROR(IF(OR($AA56="",Jun_2026!$C$74=""),"",1-NORMSDIST((Jun_2026!$C$13-$AA56)/SQRT((Jun_2026!$D$14*Jun_2026!$C$74)^2+Jun_2026!$F$14^2))),"")</f>
        <v>5.4182571598991869E-3</v>
      </c>
    </row>
    <row r="57" spans="1:28" x14ac:dyDescent="0.2">
      <c r="A57" s="23" t="s">
        <v>133</v>
      </c>
      <c r="E57" s="48">
        <v>8</v>
      </c>
      <c r="F57" s="49">
        <v>7321.56</v>
      </c>
      <c r="U57" s="54">
        <v>38</v>
      </c>
      <c r="V57" s="55">
        <v>0.55930000000000002</v>
      </c>
      <c r="W57" s="25">
        <f>IF(ISNUMBER($V57),Jun_2026!$C$5+Jun_2026!$C$6*$V57,"")</f>
        <v>1.0813574811799354</v>
      </c>
      <c r="X57" s="56">
        <f>IF(ISNUMBER($V57),IFERROR(SQRT((Jun_2026!$C$6*Jun_2026!$C$74)^2+Jun_2026!$C$7^2),""),"")</f>
        <v>3.3529009686032826E-2</v>
      </c>
      <c r="Y57" s="57">
        <f>IF(OR($W57="",$X57="",$X57=0),"",1-NORMSDIST((Jun_2026!$C$4-$W57)/$X57))</f>
        <v>9.9698246339074981E-4</v>
      </c>
      <c r="Z57" s="58">
        <f>IF(ISNUMBER($V57),IF($V57&gt;=Jun_2026!$C$9,1,0),"")</f>
        <v>0</v>
      </c>
      <c r="AA57" s="25">
        <f>IF(ISNUMBER($V57),Jun_2026!$C$14+Jun_2026!$D$14*$V57,"")</f>
        <v>1.11422826</v>
      </c>
      <c r="AB57" s="57">
        <f>IFERROR(IF(OR($AA57="",Jun_2026!$C$74=""),"",1-NORMSDIST((Jun_2026!$C$13-$AA57)/SQRT((Jun_2026!$D$14*Jun_2026!$C$74)^2+Jun_2026!$F$14^2))),"")</f>
        <v>5.4182571598991869E-3</v>
      </c>
    </row>
    <row r="58" spans="1:28" x14ac:dyDescent="0.2">
      <c r="A58" s="23" t="s">
        <v>134</v>
      </c>
      <c r="E58" s="48">
        <v>10</v>
      </c>
      <c r="F58" s="49">
        <v>5582.72</v>
      </c>
      <c r="U58" s="54">
        <v>39</v>
      </c>
      <c r="V58" s="55">
        <v>0.55930000000000002</v>
      </c>
      <c r="W58" s="25">
        <f>IF(ISNUMBER($V58),Jun_2026!$C$5+Jun_2026!$C$6*$V58,"")</f>
        <v>1.0813574811799354</v>
      </c>
      <c r="X58" s="56">
        <f>IF(ISNUMBER($V58),IFERROR(SQRT((Jun_2026!$C$6*Jun_2026!$C$74)^2+Jun_2026!$C$7^2),""),"")</f>
        <v>3.3529009686032826E-2</v>
      </c>
      <c r="Y58" s="57">
        <f>IF(OR($W58="",$X58="",$X58=0),"",1-NORMSDIST((Jun_2026!$C$4-$W58)/$X58))</f>
        <v>9.9698246339074981E-4</v>
      </c>
      <c r="Z58" s="58">
        <f>IF(ISNUMBER($V58),IF($V58&gt;=Jun_2026!$C$9,1,0),"")</f>
        <v>0</v>
      </c>
      <c r="AA58" s="25">
        <f>IF(ISNUMBER($V58),Jun_2026!$C$14+Jun_2026!$D$14*$V58,"")</f>
        <v>1.11422826</v>
      </c>
      <c r="AB58" s="57">
        <f>IFERROR(IF(OR($AA58="",Jun_2026!$C$74=""),"",1-NORMSDIST((Jun_2026!$C$13-$AA58)/SQRT((Jun_2026!$D$14*Jun_2026!$C$74)^2+Jun_2026!$F$14^2))),"")</f>
        <v>5.4182571598991869E-3</v>
      </c>
    </row>
    <row r="59" spans="1:28" x14ac:dyDescent="0.2">
      <c r="A59" s="23" t="s">
        <v>135</v>
      </c>
      <c r="E59" s="48">
        <v>12</v>
      </c>
      <c r="F59" s="49">
        <v>17193.830000000002</v>
      </c>
      <c r="U59" s="54">
        <v>40</v>
      </c>
      <c r="V59" s="55">
        <v>0.55930000000000002</v>
      </c>
      <c r="W59" s="25">
        <f>IF(ISNUMBER($V59),Jun_2026!$C$5+Jun_2026!$C$6*$V59,"")</f>
        <v>1.0813574811799354</v>
      </c>
      <c r="X59" s="56">
        <f>IF(ISNUMBER($V59),IFERROR(SQRT((Jun_2026!$C$6*Jun_2026!$C$74)^2+Jun_2026!$C$7^2),""),"")</f>
        <v>3.3529009686032826E-2</v>
      </c>
      <c r="Y59" s="57">
        <f>IF(OR($W59="",$X59="",$X59=0),"",1-NORMSDIST((Jun_2026!$C$4-$W59)/$X59))</f>
        <v>9.9698246339074981E-4</v>
      </c>
      <c r="Z59" s="58">
        <f>IF(ISNUMBER($V59),IF($V59&gt;=Jun_2026!$C$9,1,0),"")</f>
        <v>0</v>
      </c>
      <c r="AA59" s="25">
        <f>IF(ISNUMBER($V59),Jun_2026!$C$14+Jun_2026!$D$14*$V59,"")</f>
        <v>1.11422826</v>
      </c>
      <c r="AB59" s="57">
        <f>IFERROR(IF(OR($AA59="",Jun_2026!$C$74=""),"",1-NORMSDIST((Jun_2026!$C$13-$AA59)/SQRT((Jun_2026!$D$14*Jun_2026!$C$74)^2+Jun_2026!$F$14^2))),"")</f>
        <v>5.4182571598991869E-3</v>
      </c>
    </row>
    <row r="60" spans="1:28" x14ac:dyDescent="0.2">
      <c r="A60" s="23" t="s">
        <v>136</v>
      </c>
      <c r="E60" s="48">
        <v>12</v>
      </c>
      <c r="F60" s="49">
        <v>11573.87</v>
      </c>
      <c r="U60" s="54">
        <v>41</v>
      </c>
      <c r="V60" s="55">
        <v>0.55930000000000002</v>
      </c>
      <c r="W60" s="25">
        <f>IF(ISNUMBER($V60),Jun_2026!$C$5+Jun_2026!$C$6*$V60,"")</f>
        <v>1.0813574811799354</v>
      </c>
      <c r="X60" s="56">
        <f>IF(ISNUMBER($V60),IFERROR(SQRT((Jun_2026!$C$6*Jun_2026!$C$74)^2+Jun_2026!$C$7^2),""),"")</f>
        <v>3.3529009686032826E-2</v>
      </c>
      <c r="Y60" s="57">
        <f>IF(OR($W60="",$X60="",$X60=0),"",1-NORMSDIST((Jun_2026!$C$4-$W60)/$X60))</f>
        <v>9.9698246339074981E-4</v>
      </c>
      <c r="Z60" s="58">
        <f>IF(ISNUMBER($V60),IF($V60&gt;=Jun_2026!$C$9,1,0),"")</f>
        <v>0</v>
      </c>
      <c r="AA60" s="25">
        <f>IF(ISNUMBER($V60),Jun_2026!$C$14+Jun_2026!$D$14*$V60,"")</f>
        <v>1.11422826</v>
      </c>
      <c r="AB60" s="57">
        <f>IFERROR(IF(OR($AA60="",Jun_2026!$C$74=""),"",1-NORMSDIST((Jun_2026!$C$13-$AA60)/SQRT((Jun_2026!$D$14*Jun_2026!$C$74)^2+Jun_2026!$F$14^2))),"")</f>
        <v>5.4182571598991869E-3</v>
      </c>
    </row>
    <row r="61" spans="1:28" x14ac:dyDescent="0.2">
      <c r="A61" s="23" t="s">
        <v>64</v>
      </c>
      <c r="E61" s="48">
        <v>8</v>
      </c>
      <c r="F61" s="49">
        <v>17405.810000000001</v>
      </c>
      <c r="U61" s="54">
        <v>42</v>
      </c>
      <c r="V61" s="55">
        <v>0.55930000000000002</v>
      </c>
      <c r="W61" s="25">
        <f>IF(ISNUMBER($V61),Jun_2026!$C$5+Jun_2026!$C$6*$V61,"")</f>
        <v>1.0813574811799354</v>
      </c>
      <c r="X61" s="56">
        <f>IF(ISNUMBER($V61),IFERROR(SQRT((Jun_2026!$C$6*Jun_2026!$C$74)^2+Jun_2026!$C$7^2),""),"")</f>
        <v>3.3529009686032826E-2</v>
      </c>
      <c r="Y61" s="57">
        <f>IF(OR($W61="",$X61="",$X61=0),"",1-NORMSDIST((Jun_2026!$C$4-$W61)/$X61))</f>
        <v>9.9698246339074981E-4</v>
      </c>
      <c r="Z61" s="58">
        <f>IF(ISNUMBER($V61),IF($V61&gt;=Jun_2026!$C$9,1,0),"")</f>
        <v>0</v>
      </c>
      <c r="AA61" s="25">
        <f>IF(ISNUMBER($V61),Jun_2026!$C$14+Jun_2026!$D$14*$V61,"")</f>
        <v>1.11422826</v>
      </c>
      <c r="AB61" s="57">
        <f>IFERROR(IF(OR($AA61="",Jun_2026!$C$74=""),"",1-NORMSDIST((Jun_2026!$C$13-$AA61)/SQRT((Jun_2026!$D$14*Jun_2026!$C$74)^2+Jun_2026!$F$14^2))),"")</f>
        <v>5.4182571598991869E-3</v>
      </c>
    </row>
    <row r="62" spans="1:28" x14ac:dyDescent="0.2">
      <c r="A62" s="23" t="s">
        <v>137</v>
      </c>
      <c r="E62" s="48">
        <v>8</v>
      </c>
      <c r="F62" s="49">
        <v>8335.14</v>
      </c>
      <c r="U62" s="54">
        <v>43</v>
      </c>
      <c r="V62" s="55">
        <v>0.55930000000000002</v>
      </c>
      <c r="W62" s="25">
        <f>IF(ISNUMBER($V62),Jun_2026!$C$5+Jun_2026!$C$6*$V62,"")</f>
        <v>1.0813574811799354</v>
      </c>
      <c r="X62" s="56">
        <f>IF(ISNUMBER($V62),IFERROR(SQRT((Jun_2026!$C$6*Jun_2026!$C$74)^2+Jun_2026!$C$7^2),""),"")</f>
        <v>3.3529009686032826E-2</v>
      </c>
      <c r="Y62" s="57">
        <f>IF(OR($W62="",$X62="",$X62=0),"",1-NORMSDIST((Jun_2026!$C$4-$W62)/$X62))</f>
        <v>9.9698246339074981E-4</v>
      </c>
      <c r="Z62" s="58">
        <f>IF(ISNUMBER($V62),IF($V62&gt;=Jun_2026!$C$9,1,0),"")</f>
        <v>0</v>
      </c>
      <c r="AA62" s="25">
        <f>IF(ISNUMBER($V62),Jun_2026!$C$14+Jun_2026!$D$14*$V62,"")</f>
        <v>1.11422826</v>
      </c>
      <c r="AB62" s="57">
        <f>IFERROR(IF(OR($AA62="",Jun_2026!$C$74=""),"",1-NORMSDIST((Jun_2026!$C$13-$AA62)/SQRT((Jun_2026!$D$14*Jun_2026!$C$74)^2+Jun_2026!$F$14^2))),"")</f>
        <v>5.4182571598991869E-3</v>
      </c>
    </row>
    <row r="63" spans="1:28" x14ac:dyDescent="0.2">
      <c r="U63" s="54">
        <v>44</v>
      </c>
      <c r="V63" s="55">
        <v>0.55930000000000002</v>
      </c>
      <c r="W63" s="25">
        <f>IF(ISNUMBER($V63),Jun_2026!$C$5+Jun_2026!$C$6*$V63,"")</f>
        <v>1.0813574811799354</v>
      </c>
      <c r="X63" s="56">
        <f>IF(ISNUMBER($V63),IFERROR(SQRT((Jun_2026!$C$6*Jun_2026!$C$74)^2+Jun_2026!$C$7^2),""),"")</f>
        <v>3.3529009686032826E-2</v>
      </c>
      <c r="Y63" s="57">
        <f>IF(OR($W63="",$X63="",$X63=0),"",1-NORMSDIST((Jun_2026!$C$4-$W63)/$X63))</f>
        <v>9.9698246339074981E-4</v>
      </c>
      <c r="Z63" s="58">
        <f>IF(ISNUMBER($V63),IF($V63&gt;=Jun_2026!$C$9,1,0),"")</f>
        <v>0</v>
      </c>
      <c r="AA63" s="25">
        <f>IF(ISNUMBER($V63),Jun_2026!$C$14+Jun_2026!$D$14*$V63,"")</f>
        <v>1.11422826</v>
      </c>
      <c r="AB63" s="57">
        <f>IFERROR(IF(OR($AA63="",Jun_2026!$C$74=""),"",1-NORMSDIST((Jun_2026!$C$13-$AA63)/SQRT((Jun_2026!$D$14*Jun_2026!$C$74)^2+Jun_2026!$F$14^2))),"")</f>
        <v>5.4182571598991869E-3</v>
      </c>
    </row>
    <row r="64" spans="1:28" x14ac:dyDescent="0.2">
      <c r="A64" s="66" t="s">
        <v>186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U64" s="54">
        <v>45</v>
      </c>
      <c r="V64" s="55">
        <v>0.55930000000000002</v>
      </c>
      <c r="W64" s="25">
        <f>IF(ISNUMBER($V64),Jun_2026!$C$5+Jun_2026!$C$6*$V64,"")</f>
        <v>1.0813574811799354</v>
      </c>
      <c r="X64" s="56">
        <f>IF(ISNUMBER($V64),IFERROR(SQRT((Jun_2026!$C$6*Jun_2026!$C$74)^2+Jun_2026!$C$7^2),""),"")</f>
        <v>3.3529009686032826E-2</v>
      </c>
      <c r="Y64" s="57">
        <f>IF(OR($W64="",$X64="",$X64=0),"",1-NORMSDIST((Jun_2026!$C$4-$W64)/$X64))</f>
        <v>9.9698246339074981E-4</v>
      </c>
      <c r="Z64" s="58">
        <f>IF(ISNUMBER($V64),IF($V64&gt;=Jun_2026!$C$9,1,0),"")</f>
        <v>0</v>
      </c>
      <c r="AA64" s="25">
        <f>IF(ISNUMBER($V64),Jun_2026!$C$14+Jun_2026!$D$14*$V64,"")</f>
        <v>1.11422826</v>
      </c>
      <c r="AB64" s="57">
        <f>IFERROR(IF(OR($AA64="",Jun_2026!$C$74=""),"",1-NORMSDIST((Jun_2026!$C$13-$AA64)/SQRT((Jun_2026!$D$14*Jun_2026!$C$74)^2+Jun_2026!$F$14^2))),"")</f>
        <v>5.4182571598991869E-3</v>
      </c>
    </row>
    <row r="65" spans="1:28" x14ac:dyDescent="0.2">
      <c r="A65" s="1" t="s">
        <v>41</v>
      </c>
      <c r="C65" s="28">
        <f>COUNT($B$20:$B$49)</f>
        <v>30</v>
      </c>
      <c r="E65" s="6" t="s">
        <v>42</v>
      </c>
      <c r="F65" s="68" t="s">
        <v>180</v>
      </c>
      <c r="G65" s="68"/>
      <c r="H65" s="68"/>
      <c r="I65" s="68"/>
      <c r="J65" s="68"/>
      <c r="K65" s="68"/>
      <c r="L65" s="68"/>
      <c r="M65" s="68"/>
      <c r="N65" s="68"/>
      <c r="O65" s="68"/>
      <c r="U65" s="54">
        <v>46</v>
      </c>
      <c r="V65" s="55">
        <v>0.55930000000000002</v>
      </c>
      <c r="W65" s="25">
        <f>IF(ISNUMBER($V65),Jun_2026!$C$5+Jun_2026!$C$6*$V65,"")</f>
        <v>1.0813574811799354</v>
      </c>
      <c r="X65" s="56">
        <f>IF(ISNUMBER($V65),IFERROR(SQRT((Jun_2026!$C$6*Jun_2026!$C$74)^2+Jun_2026!$C$7^2),""),"")</f>
        <v>3.3529009686032826E-2</v>
      </c>
      <c r="Y65" s="57">
        <f>IF(OR($W65="",$X65="",$X65=0),"",1-NORMSDIST((Jun_2026!$C$4-$W65)/$X65))</f>
        <v>9.9698246339074981E-4</v>
      </c>
      <c r="Z65" s="58">
        <f>IF(ISNUMBER($V65),IF($V65&gt;=Jun_2026!$C$9,1,0),"")</f>
        <v>0</v>
      </c>
      <c r="AA65" s="25">
        <f>IF(ISNUMBER($V65),Jun_2026!$C$14+Jun_2026!$D$14*$V65,"")</f>
        <v>1.11422826</v>
      </c>
      <c r="AB65" s="57">
        <f>IFERROR(IF(OR($AA65="",Jun_2026!$C$74=""),"",1-NORMSDIST((Jun_2026!$C$13-$AA65)/SQRT((Jun_2026!$D$14*Jun_2026!$C$74)^2+Jun_2026!$F$14^2))),"")</f>
        <v>5.4182571598991869E-3</v>
      </c>
    </row>
    <row r="66" spans="1:28" x14ac:dyDescent="0.2">
      <c r="A66" s="2" t="s">
        <v>43</v>
      </c>
      <c r="C66" s="29" t="e">
        <f>IF($C$65=0,"",#REF!/$C$65)</f>
        <v>#REF!</v>
      </c>
      <c r="E66" s="6" t="s">
        <v>44</v>
      </c>
      <c r="F66" s="2" t="s">
        <v>187</v>
      </c>
      <c r="H66" s="35"/>
      <c r="J66" s="6"/>
      <c r="K66" s="6"/>
      <c r="L66" s="6"/>
      <c r="M66" s="6"/>
      <c r="N66" s="6"/>
      <c r="O66" s="6"/>
      <c r="U66" s="54">
        <v>48</v>
      </c>
      <c r="V66" s="55">
        <v>0.55930000000000002</v>
      </c>
      <c r="W66" s="25">
        <f>IF(ISNUMBER($V66),Jun_2026!$C$5+Jun_2026!$C$6*$V66,"")</f>
        <v>1.0813574811799354</v>
      </c>
      <c r="X66" s="56">
        <f>IF(ISNUMBER($V66),IFERROR(SQRT((Jun_2026!$C$6*Jun_2026!$C$74)^2+Jun_2026!$C$7^2),""),"")</f>
        <v>3.3529009686032826E-2</v>
      </c>
      <c r="Y66" s="57">
        <f>IF(OR($W66="",$X66="",$X66=0),"",1-NORMSDIST((Jun_2026!$C$4-$W66)/$X66))</f>
        <v>9.9698246339074981E-4</v>
      </c>
      <c r="Z66" s="58">
        <f>IF(ISNUMBER($V66),IF($V66&gt;=Jun_2026!$C$9,1,0),"")</f>
        <v>0</v>
      </c>
      <c r="AA66" s="25">
        <f>IF(ISNUMBER($V66),Jun_2026!$C$14+Jun_2026!$D$14*$V66,"")</f>
        <v>1.11422826</v>
      </c>
      <c r="AB66" s="57">
        <f>IFERROR(IF(OR($AA66="",Jun_2026!$C$74=""),"",1-NORMSDIST((Jun_2026!$C$13-$AA66)/SQRT((Jun_2026!$D$14*Jun_2026!$C$74)^2+Jun_2026!$F$14^2))),"")</f>
        <v>5.4182571598991869E-3</v>
      </c>
    </row>
    <row r="67" spans="1:28" x14ac:dyDescent="0.2">
      <c r="A67" s="2" t="s">
        <v>45</v>
      </c>
      <c r="C67" s="30" t="e">
        <f>#REF!-$C$65</f>
        <v>#REF!</v>
      </c>
      <c r="E67" s="6" t="s">
        <v>46</v>
      </c>
      <c r="F67" s="2" t="s">
        <v>188</v>
      </c>
      <c r="H67" s="35"/>
      <c r="J67" s="6"/>
      <c r="K67" s="6"/>
      <c r="L67" s="6"/>
      <c r="M67" s="6"/>
      <c r="N67" s="6"/>
      <c r="O67" s="6"/>
      <c r="U67" s="54">
        <v>49</v>
      </c>
      <c r="V67" s="55">
        <v>0.55930000000000002</v>
      </c>
      <c r="W67" s="25">
        <f>IF(ISNUMBER($V67),Jun_2026!$C$5+Jun_2026!$C$6*$V67,"")</f>
        <v>1.0813574811799354</v>
      </c>
      <c r="X67" s="56">
        <f>IF(ISNUMBER($V67),IFERROR(SQRT((Jun_2026!$C$6*Jun_2026!$C$74)^2+Jun_2026!$C$7^2),""),"")</f>
        <v>3.3529009686032826E-2</v>
      </c>
      <c r="Y67" s="57">
        <f>IF(OR($W67="",$X67="",$X67=0),"",1-NORMSDIST((Jun_2026!$C$4-$W67)/$X67))</f>
        <v>9.9698246339074981E-4</v>
      </c>
      <c r="Z67" s="58">
        <f>IF(ISNUMBER($V67),IF($V67&gt;=Jun_2026!$C$9,1,0),"")</f>
        <v>0</v>
      </c>
      <c r="AA67" s="25">
        <f>IF(ISNUMBER($V67),Jun_2026!$C$14+Jun_2026!$D$14*$V67,"")</f>
        <v>1.11422826</v>
      </c>
      <c r="AB67" s="57">
        <f>IFERROR(IF(OR($AA67="",Jun_2026!$C$74=""),"",1-NORMSDIST((Jun_2026!$C$13-$AA67)/SQRT((Jun_2026!$D$14*Jun_2026!$C$74)^2+Jun_2026!$F$14^2))),"")</f>
        <v>5.4182571598991869E-3</v>
      </c>
    </row>
    <row r="68" spans="1:28" x14ac:dyDescent="0.2">
      <c r="A68" s="2" t="s">
        <v>47</v>
      </c>
      <c r="C68" s="29" t="str">
        <f>IFERROR(AVERAGE(#REF!),"")</f>
        <v/>
      </c>
      <c r="E68" s="6" t="s">
        <v>48</v>
      </c>
      <c r="F68" s="2" t="s">
        <v>189</v>
      </c>
      <c r="H68" s="36"/>
      <c r="U68" s="54">
        <v>50</v>
      </c>
      <c r="V68" s="55">
        <v>0.55930000000000002</v>
      </c>
      <c r="W68" s="25">
        <f>IF(ISNUMBER($V68),Jun_2026!$C$5+Jun_2026!$C$6*$V68,"")</f>
        <v>1.0813574811799354</v>
      </c>
      <c r="X68" s="56">
        <f>IF(ISNUMBER($V68),IFERROR(SQRT((Jun_2026!$C$6*Jun_2026!$C$74)^2+Jun_2026!$C$7^2),""),"")</f>
        <v>3.3529009686032826E-2</v>
      </c>
      <c r="Y68" s="57">
        <f>IF(OR($W68="",$X68="",$X68=0),"",1-NORMSDIST((Jun_2026!$C$4-$W68)/$X68))</f>
        <v>9.9698246339074981E-4</v>
      </c>
      <c r="Z68" s="58">
        <f>IF(ISNUMBER($V68),IF($V68&gt;=Jun_2026!$C$9,1,0),"")</f>
        <v>0</v>
      </c>
      <c r="AA68" s="25">
        <f>IF(ISNUMBER($V68),Jun_2026!$C$14+Jun_2026!$D$14*$V68,"")</f>
        <v>1.11422826</v>
      </c>
      <c r="AB68" s="57">
        <f>IFERROR(IF(OR($AA68="",Jun_2026!$C$74=""),"",1-NORMSDIST((Jun_2026!$C$13-$AA68)/SQRT((Jun_2026!$D$14*Jun_2026!$C$74)^2+Jun_2026!$F$14^2))),"")</f>
        <v>5.4182571598991869E-3</v>
      </c>
    </row>
    <row r="69" spans="1:28" x14ac:dyDescent="0.2">
      <c r="A69" s="2"/>
      <c r="C69" s="30"/>
      <c r="F69" s="1" t="s">
        <v>190</v>
      </c>
      <c r="H69" s="37"/>
      <c r="J69" s="6"/>
      <c r="K69" s="6"/>
      <c r="L69" s="6"/>
      <c r="M69" s="6"/>
      <c r="N69" s="6"/>
      <c r="O69" s="6"/>
      <c r="U69" s="54">
        <v>51</v>
      </c>
      <c r="V69" s="55">
        <v>0.55930000000000002</v>
      </c>
      <c r="W69" s="25">
        <f>IF(ISNUMBER($V69),Jun_2026!$C$5+Jun_2026!$C$6*$V69,"")</f>
        <v>1.0813574811799354</v>
      </c>
      <c r="X69" s="56">
        <f>IF(ISNUMBER($V69),IFERROR(SQRT((Jun_2026!$C$6*Jun_2026!$C$74)^2+Jun_2026!$C$7^2),""),"")</f>
        <v>3.3529009686032826E-2</v>
      </c>
      <c r="Y69" s="57">
        <f>IF(OR($W69="",$X69="",$X69=0),"",1-NORMSDIST((Jun_2026!$C$4-$W69)/$X69))</f>
        <v>9.9698246339074981E-4</v>
      </c>
      <c r="Z69" s="58">
        <f>IF(ISNUMBER($V69),IF($V69&gt;=Jun_2026!$C$9,1,0),"")</f>
        <v>0</v>
      </c>
      <c r="AA69" s="25">
        <f>IF(ISNUMBER($V69),Jun_2026!$C$14+Jun_2026!$D$14*$V69,"")</f>
        <v>1.11422826</v>
      </c>
      <c r="AB69" s="57">
        <f>IFERROR(IF(OR($AA69="",Jun_2026!$C$74=""),"",1-NORMSDIST((Jun_2026!$C$13-$AA69)/SQRT((Jun_2026!$D$14*Jun_2026!$C$74)^2+Jun_2026!$F$14^2))),"")</f>
        <v>5.4182571598991869E-3</v>
      </c>
    </row>
    <row r="70" spans="1:28" x14ac:dyDescent="0.2">
      <c r="A70" s="1" t="s">
        <v>49</v>
      </c>
      <c r="C70" s="31" t="e">
        <f>IF($C$69=#REF!,SUM($H$20:$H$49)/#REF!,"")</f>
        <v>#REF!</v>
      </c>
      <c r="E70" s="6" t="s">
        <v>50</v>
      </c>
    </row>
    <row r="71" spans="1:28" x14ac:dyDescent="0.2">
      <c r="A71" s="2" t="s">
        <v>51</v>
      </c>
      <c r="C71" s="32">
        <f>IFERROR(INDEX($G$4:$G$9,MATCH($C$65,$E$4:$E$9,1)),INDEX($G$4:$G$9,1))</f>
        <v>0</v>
      </c>
      <c r="E71" s="6" t="s">
        <v>52</v>
      </c>
      <c r="F71" s="2"/>
      <c r="J71" s="6"/>
      <c r="K71" s="6"/>
      <c r="L71" s="6"/>
      <c r="M71" s="6"/>
      <c r="N71" s="6"/>
      <c r="O71" s="6"/>
    </row>
    <row r="72" spans="1:28" x14ac:dyDescent="0.2">
      <c r="A72" s="2" t="s">
        <v>53</v>
      </c>
      <c r="C72" s="32" t="str">
        <f>IFERROR(AVERAGE(#REF!),"")</f>
        <v/>
      </c>
    </row>
    <row r="73" spans="1:28" x14ac:dyDescent="0.2">
      <c r="A73" s="2" t="s">
        <v>54</v>
      </c>
      <c r="C73" s="32">
        <f>IFERROR($C$16*$C$72*$C$67/#REF!,0)</f>
        <v>0</v>
      </c>
      <c r="F73" s="2"/>
      <c r="H73" s="6"/>
      <c r="J73" s="6"/>
      <c r="K73" s="6"/>
      <c r="L73" s="6"/>
      <c r="M73" s="6"/>
      <c r="N73" s="6"/>
      <c r="O73" s="6"/>
    </row>
    <row r="74" spans="1:28" x14ac:dyDescent="0.2">
      <c r="A74" s="2" t="s">
        <v>55</v>
      </c>
      <c r="C74" s="32">
        <f>IFERROR(SQRT($C$71^2+$C$73^2),"")</f>
        <v>0</v>
      </c>
      <c r="E74" s="6" t="s">
        <v>56</v>
      </c>
      <c r="H74" s="6"/>
      <c r="J74" s="6"/>
      <c r="K74" s="6"/>
      <c r="L74" s="6"/>
      <c r="M74" s="6"/>
      <c r="N74" s="6"/>
      <c r="O74" s="6"/>
    </row>
    <row r="75" spans="1:28" x14ac:dyDescent="0.2">
      <c r="A75" s="1" t="s">
        <v>170</v>
      </c>
      <c r="C75" s="33" t="e">
        <f>IF($C$70="","",$C$5+$C$6*$C$70)</f>
        <v>#REF!</v>
      </c>
      <c r="E75" s="6" t="s">
        <v>57</v>
      </c>
      <c r="F75" s="6"/>
      <c r="G75" s="6"/>
      <c r="I75" s="6"/>
      <c r="J75" s="6"/>
      <c r="K75" s="61"/>
      <c r="L75" s="61"/>
      <c r="M75" s="61"/>
      <c r="N75" s="61"/>
      <c r="O75" s="61"/>
    </row>
    <row r="76" spans="1:28" x14ac:dyDescent="0.2">
      <c r="A76" s="2" t="s">
        <v>58</v>
      </c>
      <c r="C76" s="32" t="e">
        <f>IF($C$70="","",SQRT(($C$6*$C$74)^2+$C$7^2))</f>
        <v>#REF!</v>
      </c>
      <c r="E76" s="6"/>
      <c r="F76" s="6"/>
      <c r="G76" s="6"/>
      <c r="H76" s="6"/>
      <c r="I76" s="6"/>
      <c r="J76" s="6"/>
      <c r="K76" s="61"/>
      <c r="L76" s="61"/>
      <c r="M76" s="61"/>
      <c r="N76" s="61"/>
      <c r="O76" s="61"/>
    </row>
    <row r="77" spans="1:28" x14ac:dyDescent="0.2">
      <c r="A77" s="2" t="s">
        <v>59</v>
      </c>
      <c r="C77" s="29" t="e">
        <f>IF($C$75="","",($C$4-$C$75)/$C$76)</f>
        <v>#REF!</v>
      </c>
      <c r="H77" s="6"/>
      <c r="K77" s="63"/>
      <c r="L77" s="63"/>
      <c r="M77" s="63"/>
      <c r="N77" s="63"/>
      <c r="O77" s="63"/>
    </row>
    <row r="78" spans="1:28" x14ac:dyDescent="0.2">
      <c r="A78" s="2" t="s">
        <v>60</v>
      </c>
      <c r="C78" s="34" t="e">
        <f>IF($C$77="","",1-NORMSDIST($C$77))</f>
        <v>#REF!</v>
      </c>
      <c r="E78" s="6" t="s">
        <v>61</v>
      </c>
      <c r="F78" s="6"/>
      <c r="G78" s="6"/>
      <c r="I78" s="6"/>
      <c r="J78" s="6"/>
      <c r="K78" s="63"/>
      <c r="L78" s="63"/>
      <c r="M78" s="63"/>
      <c r="N78" s="63"/>
      <c r="O78" s="63"/>
    </row>
    <row r="79" spans="1:28" x14ac:dyDescent="0.2">
      <c r="A79" s="2" t="s">
        <v>62</v>
      </c>
      <c r="C79" s="29" t="e">
        <f>IF(OR($C$65=0,$C$65&gt;=#REF!),"",(#REF!*$C$9-#REF!)/(#REF!-$C$65))</f>
        <v>#REF!</v>
      </c>
      <c r="E79" s="6" t="s">
        <v>63</v>
      </c>
      <c r="F79" s="6"/>
      <c r="G79" s="6"/>
      <c r="H79" s="6"/>
      <c r="I79" s="6"/>
      <c r="J79" s="6"/>
      <c r="K79" s="63"/>
      <c r="L79" s="63"/>
      <c r="M79" s="63"/>
      <c r="N79" s="63"/>
      <c r="O79" s="63"/>
    </row>
    <row r="80" spans="1:28" x14ac:dyDescent="0.2">
      <c r="A80" s="2" t="s">
        <v>178</v>
      </c>
      <c r="C80" s="34" t="e">
        <f>IF($C$75="","",NORMSDIST(($C$4-$C$75)/$C$76)-NORMSDIST((#REF!-$C$75)/$C$76))</f>
        <v>#REF!</v>
      </c>
      <c r="K80" s="61"/>
      <c r="L80" s="61"/>
      <c r="M80" s="61"/>
      <c r="N80" s="61"/>
      <c r="O80" s="61"/>
    </row>
    <row r="81" spans="1:15" x14ac:dyDescent="0.2">
      <c r="H81" s="4"/>
      <c r="K81" s="63"/>
      <c r="L81" s="63"/>
      <c r="M81" s="63"/>
      <c r="N81" s="63"/>
      <c r="O81" s="63"/>
    </row>
    <row r="82" spans="1:15" x14ac:dyDescent="0.2">
      <c r="A82" s="67" t="s">
        <v>65</v>
      </c>
      <c r="B82" s="67"/>
      <c r="C82" s="67"/>
      <c r="D82" s="67"/>
      <c r="E82" s="67"/>
      <c r="F82" s="67"/>
      <c r="G82" s="67"/>
      <c r="H82" s="36">
        <v>4629.04</v>
      </c>
      <c r="I82" s="67"/>
      <c r="J82" s="67"/>
      <c r="K82" s="61"/>
      <c r="L82" s="61"/>
      <c r="M82" s="61"/>
      <c r="N82" s="61"/>
      <c r="O82" s="61"/>
    </row>
    <row r="83" spans="1:15" x14ac:dyDescent="0.2">
      <c r="A83" s="40" t="s">
        <v>66</v>
      </c>
      <c r="C83" s="40" t="s">
        <v>67</v>
      </c>
      <c r="D83" s="40" t="s">
        <v>68</v>
      </c>
      <c r="E83" s="40" t="s">
        <v>69</v>
      </c>
      <c r="F83" s="3" t="s">
        <v>169</v>
      </c>
      <c r="G83" s="4"/>
      <c r="H83" s="44">
        <v>0.91690000000000005</v>
      </c>
      <c r="K83" s="61"/>
      <c r="L83" s="61"/>
      <c r="M83" s="61"/>
      <c r="N83" s="61"/>
      <c r="O83" s="61"/>
    </row>
    <row r="84" spans="1:15" x14ac:dyDescent="0.2">
      <c r="A84" s="2" t="s">
        <v>70</v>
      </c>
      <c r="B84" s="10">
        <f>COUNT($J$20:$J$49)</f>
        <v>30</v>
      </c>
      <c r="C84" s="10">
        <f>COUNT($K$20:$K$49)</f>
        <v>0</v>
      </c>
      <c r="D84" s="10">
        <f>COUNT($L$20:$L$49)</f>
        <v>0</v>
      </c>
      <c r="F84" s="2" t="s">
        <v>86</v>
      </c>
      <c r="H84" s="37">
        <v>4244.28</v>
      </c>
      <c r="K84" s="62"/>
      <c r="L84" s="62"/>
      <c r="M84" s="62"/>
      <c r="N84" s="62"/>
      <c r="O84" s="62"/>
    </row>
    <row r="85" spans="1:15" x14ac:dyDescent="0.2">
      <c r="A85" s="2" t="s">
        <v>71</v>
      </c>
      <c r="B85" s="20">
        <f>IFERROR(AVERAGE($J$20:$J$49),"")</f>
        <v>-6.8669999999999995E-2</v>
      </c>
      <c r="C85" s="20" t="str">
        <f>IFERROR(AVERAGE($K$20:$K$49),"")</f>
        <v/>
      </c>
      <c r="D85" s="20" t="str">
        <f>IFERROR(AVERAGE($L$20:$L$49),"")</f>
        <v/>
      </c>
      <c r="F85" s="2" t="s">
        <v>87</v>
      </c>
      <c r="H85" s="36">
        <v>3691.75</v>
      </c>
      <c r="K85" s="61"/>
      <c r="L85" s="61"/>
      <c r="M85" s="61"/>
      <c r="N85" s="61"/>
      <c r="O85" s="61"/>
    </row>
    <row r="86" spans="1:15" x14ac:dyDescent="0.2">
      <c r="A86" s="2" t="s">
        <v>72</v>
      </c>
      <c r="B86" s="20">
        <f>IFERROR(AVERAGE($N$20:$N$49),"")</f>
        <v>1.0871782333333333E-2</v>
      </c>
      <c r="C86" s="20" t="str">
        <f>IFERROR(AVERAGE($P$20:$P$49),"")</f>
        <v/>
      </c>
      <c r="D86" s="20" t="str">
        <f>IFERROR(AVERAGE($R$20:$R$49),"")</f>
        <v/>
      </c>
      <c r="F86" s="2" t="s">
        <v>88</v>
      </c>
      <c r="H86" s="37">
        <v>3561.64</v>
      </c>
    </row>
    <row r="87" spans="1:15" x14ac:dyDescent="0.2">
      <c r="A87" s="2" t="s">
        <v>73</v>
      </c>
      <c r="B87" s="20" t="str">
        <f>IFERROR(SQRT(AVERAGE($O$20:$O$49)),"")</f>
        <v/>
      </c>
      <c r="C87" s="20" t="str">
        <f>IFERROR(SQRT(AVERAGE($Q$20:$Q$49)),"")</f>
        <v/>
      </c>
      <c r="D87" s="20">
        <f>IFERROR(SQRT(AVERAGE($S$20:$S$49)),"")</f>
        <v>0.13670149621224587</v>
      </c>
      <c r="F87" s="2" t="s">
        <v>89</v>
      </c>
      <c r="H87" s="37">
        <v>3.5</v>
      </c>
    </row>
    <row r="88" spans="1:15" x14ac:dyDescent="0.2">
      <c r="A88" s="2" t="s">
        <v>74</v>
      </c>
      <c r="B88" s="13" t="str">
        <f>IFERROR(AVERAGE($D$20:$D$49),"")</f>
        <v/>
      </c>
      <c r="F88" s="2" t="s">
        <v>90</v>
      </c>
      <c r="H88" s="45">
        <f>$H$82-$H$85</f>
        <v>937.29</v>
      </c>
    </row>
    <row r="89" spans="1:15" x14ac:dyDescent="0.2">
      <c r="A89" s="2" t="s">
        <v>75</v>
      </c>
      <c r="B89" s="41" t="str">
        <f>IFERROR($B$88/$B$87,"")</f>
        <v/>
      </c>
      <c r="F89" s="2" t="s">
        <v>91</v>
      </c>
      <c r="H89" s="39">
        <f>$H$88*1</f>
        <v>937.29</v>
      </c>
    </row>
    <row r="90" spans="1:15" x14ac:dyDescent="0.2">
      <c r="A90" s="2" t="s">
        <v>76</v>
      </c>
      <c r="B90" s="20" t="str">
        <f>IFERROR(SQRT(AVERAGE($T$20:$T$49)),"")</f>
        <v/>
      </c>
      <c r="F90" s="2" t="s">
        <v>92</v>
      </c>
      <c r="H90" s="46">
        <f>$H$86+$H$89-$H$84-$H$87</f>
        <v>251.15000000000055</v>
      </c>
    </row>
    <row r="91" spans="1:15" x14ac:dyDescent="0.2">
      <c r="A91" s="2" t="s">
        <v>77</v>
      </c>
      <c r="B91" s="42" t="str">
        <f>IFERROR(1-B87/$B$90,"")</f>
        <v/>
      </c>
      <c r="C91" s="42" t="str">
        <f>IFERROR(1-C87/$B$90,"")</f>
        <v/>
      </c>
      <c r="D91" s="42" t="str">
        <f>IFERROR(1-D87/$B$90,"")</f>
        <v/>
      </c>
      <c r="F91" s="2" t="s">
        <v>93</v>
      </c>
      <c r="H91" s="38">
        <f>IFERROR($H$90/$H$84,"")</f>
        <v>5.9173758564468076E-2</v>
      </c>
    </row>
    <row r="92" spans="1:15" x14ac:dyDescent="0.2">
      <c r="A92" s="1" t="s">
        <v>78</v>
      </c>
      <c r="B92" s="31">
        <f>IF($C$65=0,"",IFERROR((IF(ISNUMBER(INDEX($J$20:$J$49,$C$65)),INDEX($J$20:$J$49,$C$65),0)+IF(AND($C$65&gt;=2,ISNUMBER(INDEX($J$20:$J$49,MAX(1,$C$65-1)))),INDEX($J$20:$J$49,MAX(1,$C$65-1)),0)+IF(AND($C$65&gt;=3,ISNUMBER(INDEX($J$20:$J$49,MAX(1,$C$65-2)))),INDEX($J$20:$J$49,MAX(1,$C$65-2)),0))/MAX(1,IF(ISNUMBER(INDEX($J$20:$J$49,$C$65)),1,0)+IF(AND($C$65&gt;=2,ISNUMBER(INDEX($J$20:$J$49,MAX(1,$C$65-1)))),1,0)+IF(AND($C$65&gt;=3,ISNUMBER(INDEX($J$20:$J$49,MAX(1,$C$65-2)))),1,0)),""))</f>
        <v>-0.14866666666666664</v>
      </c>
      <c r="F92" s="1" t="s">
        <v>94</v>
      </c>
    </row>
    <row r="93" spans="1:15" x14ac:dyDescent="0.2">
      <c r="A93" s="1"/>
      <c r="B93" s="1"/>
      <c r="F93" s="2" t="s">
        <v>185</v>
      </c>
      <c r="H93" s="6"/>
    </row>
    <row r="94" spans="1:15" x14ac:dyDescent="0.2">
      <c r="A94" s="43" t="s">
        <v>79</v>
      </c>
    </row>
    <row r="95" spans="1:15" x14ac:dyDescent="0.2">
      <c r="A95" s="2" t="s">
        <v>80</v>
      </c>
      <c r="B95" s="42" t="str">
        <f>IFERROR((1/$B$86)/((1/$B$86)+(1/$C$86)),"")</f>
        <v/>
      </c>
      <c r="D95" s="2" t="s">
        <v>81</v>
      </c>
      <c r="E95" s="42" t="str">
        <f>IFERROR((1/$C$86)/((1/$B$86)+(1/$C$86)),"")</f>
        <v/>
      </c>
    </row>
    <row r="96" spans="1:15" x14ac:dyDescent="0.2">
      <c r="A96" s="6" t="s">
        <v>82</v>
      </c>
      <c r="B96" s="6" t="str">
        <f>IF($B$84&gt;=30,"—compute now—","insufficient n")</f>
        <v>—compute now—</v>
      </c>
    </row>
    <row r="97" spans="1:18" x14ac:dyDescent="0.2">
      <c r="A97" s="6" t="s">
        <v>83</v>
      </c>
      <c r="B97" s="6" t="str">
        <f>IF($B$84&gt;=30,"—compute now—","insufficient n")</f>
        <v>—compute now—</v>
      </c>
    </row>
    <row r="98" spans="1:18" x14ac:dyDescent="0.2">
      <c r="A98" s="6" t="s">
        <v>84</v>
      </c>
      <c r="B98" s="6" t="str">
        <f>IF($B$84&gt;=30,"—compute now—","insufficient n")</f>
        <v>—compute now—</v>
      </c>
      <c r="H98" s="69"/>
    </row>
    <row r="99" spans="1:18" ht="16" customHeight="1" x14ac:dyDescent="0.2">
      <c r="A99" s="6" t="s">
        <v>85</v>
      </c>
      <c r="B99" s="6" t="str">
        <f>IF($B$84&gt;=30,"—compute now—","insufficient n")</f>
        <v>—compute now—</v>
      </c>
      <c r="H99" s="47" t="s">
        <v>145</v>
      </c>
    </row>
    <row r="100" spans="1:18" x14ac:dyDescent="0.2">
      <c r="A100" s="69" t="s">
        <v>168</v>
      </c>
      <c r="B100" s="69"/>
      <c r="C100" s="69"/>
      <c r="D100" s="69"/>
      <c r="E100" s="69"/>
      <c r="F100" s="69"/>
      <c r="G100" s="69"/>
      <c r="H100" s="51">
        <v>4.3999999999999997E-2</v>
      </c>
      <c r="I100" s="69"/>
      <c r="J100" s="69"/>
      <c r="K100" s="69"/>
      <c r="L100" s="69"/>
      <c r="M100" s="69"/>
      <c r="N100" s="69"/>
      <c r="O100" s="69"/>
    </row>
    <row r="101" spans="1:18" ht="27" x14ac:dyDescent="0.2">
      <c r="A101" s="47" t="s">
        <v>138</v>
      </c>
      <c r="B101" s="47" t="s">
        <v>139</v>
      </c>
      <c r="C101" s="47" t="s">
        <v>140</v>
      </c>
      <c r="D101" s="47" t="s">
        <v>141</v>
      </c>
      <c r="E101" s="47" t="s">
        <v>142</v>
      </c>
      <c r="F101" s="47" t="s">
        <v>143</v>
      </c>
      <c r="G101" s="47" t="s">
        <v>144</v>
      </c>
      <c r="H101" s="51">
        <v>8.7999999999999995E-2</v>
      </c>
      <c r="I101" s="47" t="s">
        <v>146</v>
      </c>
      <c r="J101" s="47" t="s">
        <v>147</v>
      </c>
      <c r="K101" s="47" t="s">
        <v>148</v>
      </c>
      <c r="L101" s="47" t="s">
        <v>149</v>
      </c>
      <c r="M101" s="47" t="s">
        <v>150</v>
      </c>
      <c r="N101" s="47" t="s">
        <v>151</v>
      </c>
      <c r="O101" s="47" t="s">
        <v>152</v>
      </c>
      <c r="P101" s="47" t="s">
        <v>153</v>
      </c>
      <c r="Q101" s="47" t="s">
        <v>154</v>
      </c>
      <c r="R101" s="47" t="s">
        <v>155</v>
      </c>
    </row>
    <row r="102" spans="1:18" x14ac:dyDescent="0.2">
      <c r="A102" s="50">
        <v>2009</v>
      </c>
      <c r="B102" s="51">
        <v>5.4000000000000003E-3</v>
      </c>
      <c r="C102" s="52">
        <v>0.67</v>
      </c>
      <c r="D102" s="51">
        <v>-8.9999999999999993E-3</v>
      </c>
      <c r="E102" s="51">
        <v>-8.9999999999999993E-3</v>
      </c>
      <c r="F102" s="51">
        <v>7.9500000000000001E-2</v>
      </c>
      <c r="G102" s="51">
        <v>-8.9999999999999993E-3</v>
      </c>
      <c r="H102" s="51">
        <v>4.1799999999999997E-2</v>
      </c>
      <c r="I102" s="51">
        <v>-8.9999999999999993E-3</v>
      </c>
      <c r="J102" s="51">
        <v>-6.4600000000000005E-2</v>
      </c>
      <c r="K102" s="51">
        <v>-8.9999999999999993E-3</v>
      </c>
      <c r="L102" s="51">
        <v>-5.9499999999999997E-2</v>
      </c>
      <c r="M102" s="51">
        <v>-8.9999999999999993E-3</v>
      </c>
      <c r="N102" s="51">
        <v>-5.2400000000000002E-2</v>
      </c>
      <c r="O102" s="51">
        <v>-8.9999999999999993E-3</v>
      </c>
      <c r="P102" s="51">
        <v>-2.7900000000000001E-2</v>
      </c>
      <c r="Q102" s="51">
        <v>-8.9999999999999993E-3</v>
      </c>
      <c r="R102" s="51">
        <v>5.4000000000000003E-3</v>
      </c>
    </row>
    <row r="103" spans="1:18" x14ac:dyDescent="0.2">
      <c r="A103" s="50">
        <v>2010</v>
      </c>
      <c r="B103" s="51">
        <v>8.7599999999999997E-2</v>
      </c>
      <c r="C103" s="52">
        <v>0.68</v>
      </c>
      <c r="D103" s="51">
        <v>0.1933</v>
      </c>
      <c r="E103" s="51">
        <v>0.1933</v>
      </c>
      <c r="F103" s="51">
        <v>2.9499999999999998E-2</v>
      </c>
      <c r="G103" s="51">
        <v>0.1933</v>
      </c>
      <c r="H103" s="51">
        <v>0.1366</v>
      </c>
      <c r="I103" s="51">
        <v>0.1933</v>
      </c>
      <c r="J103" s="51">
        <v>6.6500000000000004E-2</v>
      </c>
      <c r="K103" s="51">
        <v>0.1933</v>
      </c>
      <c r="L103" s="51">
        <v>7.8100000000000003E-2</v>
      </c>
      <c r="M103" s="51">
        <v>0.1933</v>
      </c>
      <c r="N103" s="51">
        <v>8.14E-2</v>
      </c>
      <c r="O103" s="51">
        <v>0.1933</v>
      </c>
      <c r="P103" s="51">
        <v>8.6300000000000002E-2</v>
      </c>
      <c r="Q103" s="51">
        <v>0.1933</v>
      </c>
      <c r="R103" s="51">
        <v>8.7599999999999997E-2</v>
      </c>
    </row>
    <row r="104" spans="1:18" x14ac:dyDescent="0.2">
      <c r="A104" s="50">
        <v>2011</v>
      </c>
      <c r="B104" s="51">
        <v>2.1399999999999999E-2</v>
      </c>
      <c r="C104" s="52">
        <v>0.6</v>
      </c>
      <c r="D104" s="51">
        <v>-4.6800000000000001E-2</v>
      </c>
      <c r="E104" s="51">
        <v>-4.6800000000000001E-2</v>
      </c>
      <c r="F104" s="51">
        <v>1.7999999999999999E-2</v>
      </c>
      <c r="G104" s="51">
        <v>-4.6800000000000001E-2</v>
      </c>
      <c r="H104" s="51">
        <v>-2.0199999999999999E-2</v>
      </c>
      <c r="I104" s="51">
        <v>-4.6800000000000001E-2</v>
      </c>
      <c r="J104" s="51">
        <v>0.10009999999999999</v>
      </c>
      <c r="K104" s="51">
        <v>-4.6800000000000001E-2</v>
      </c>
      <c r="L104" s="51">
        <v>6.3E-2</v>
      </c>
      <c r="M104" s="51">
        <v>-4.6800000000000001E-2</v>
      </c>
      <c r="N104" s="51">
        <v>5.8900000000000001E-2</v>
      </c>
      <c r="O104" s="51">
        <v>-4.6800000000000001E-2</v>
      </c>
      <c r="P104" s="51">
        <v>4.7E-2</v>
      </c>
      <c r="Q104" s="51">
        <v>-4.6800000000000001E-2</v>
      </c>
      <c r="R104" s="51">
        <v>2.1399999999999999E-2</v>
      </c>
    </row>
    <row r="105" spans="1:18" x14ac:dyDescent="0.2">
      <c r="A105" s="50">
        <v>2012</v>
      </c>
      <c r="B105" s="51">
        <v>0.1205</v>
      </c>
      <c r="C105" s="52">
        <v>0.68</v>
      </c>
      <c r="D105" s="51">
        <v>0.16850000000000001</v>
      </c>
      <c r="E105" s="51">
        <v>0.16850000000000001</v>
      </c>
      <c r="F105" s="51">
        <v>0.20849999999999999</v>
      </c>
      <c r="G105" s="51">
        <v>0.16850000000000001</v>
      </c>
      <c r="H105" s="51">
        <v>0.10440000000000001</v>
      </c>
      <c r="I105" s="51">
        <v>0.16850000000000001</v>
      </c>
      <c r="J105" s="51">
        <v>3.9300000000000002E-2</v>
      </c>
      <c r="K105" s="51">
        <v>0.16850000000000001</v>
      </c>
      <c r="L105" s="51">
        <v>8.6199999999999999E-2</v>
      </c>
      <c r="M105" s="51">
        <v>0.16850000000000001</v>
      </c>
      <c r="N105" s="51">
        <v>0.12520000000000001</v>
      </c>
      <c r="O105" s="51">
        <v>0.16850000000000001</v>
      </c>
      <c r="P105" s="51">
        <v>0.1124</v>
      </c>
      <c r="Q105" s="51">
        <v>0.16850000000000001</v>
      </c>
      <c r="R105" s="51">
        <v>0.1205</v>
      </c>
    </row>
    <row r="106" spans="1:18" x14ac:dyDescent="0.2">
      <c r="A106" s="50">
        <v>2013</v>
      </c>
      <c r="B106" s="51">
        <v>0.1084</v>
      </c>
      <c r="C106" s="52">
        <v>0.7</v>
      </c>
      <c r="D106" s="51">
        <v>1.6400000000000001E-2</v>
      </c>
      <c r="E106" s="51">
        <v>1.6400000000000001E-2</v>
      </c>
      <c r="F106" s="51">
        <v>5.0500000000000003E-2</v>
      </c>
      <c r="G106" s="51">
        <v>1.6400000000000001E-2</v>
      </c>
      <c r="H106" s="51">
        <v>0.30880000000000002</v>
      </c>
      <c r="I106" s="51">
        <v>1.6400000000000001E-2</v>
      </c>
      <c r="J106" s="51">
        <v>-1.5299999999999999E-2</v>
      </c>
      <c r="K106" s="51">
        <v>1.6400000000000001E-2</v>
      </c>
      <c r="L106" s="51">
        <v>5.28E-2</v>
      </c>
      <c r="M106" s="51">
        <v>1.6400000000000001E-2</v>
      </c>
      <c r="N106" s="51">
        <v>5.2499999999999998E-2</v>
      </c>
      <c r="O106" s="51">
        <v>1.6400000000000001E-2</v>
      </c>
      <c r="P106" s="51">
        <v>8.9399999999999993E-2</v>
      </c>
      <c r="Q106" s="51">
        <v>1.6400000000000001E-2</v>
      </c>
      <c r="R106" s="51">
        <v>0.1084</v>
      </c>
    </row>
    <row r="107" spans="1:18" x14ac:dyDescent="0.2">
      <c r="A107" s="50">
        <v>2014</v>
      </c>
      <c r="B107" s="51">
        <v>7.3200000000000001E-2</v>
      </c>
      <c r="C107" s="52">
        <v>0.71</v>
      </c>
      <c r="D107" s="51">
        <v>0.17829999999999999</v>
      </c>
      <c r="E107" s="51">
        <v>0.17829999999999999</v>
      </c>
      <c r="F107" s="51">
        <v>0.14099999999999999</v>
      </c>
      <c r="G107" s="51">
        <v>0.17829999999999999</v>
      </c>
      <c r="H107" s="51">
        <v>0.35699999999999998</v>
      </c>
      <c r="I107" s="51">
        <v>0.17829999999999999</v>
      </c>
      <c r="J107" s="51">
        <v>0.1069</v>
      </c>
      <c r="K107" s="51">
        <v>0.17829999999999999</v>
      </c>
      <c r="L107" s="51">
        <v>8.7800000000000003E-2</v>
      </c>
      <c r="M107" s="51">
        <v>0.17829999999999999</v>
      </c>
      <c r="N107" s="51">
        <v>8.3400000000000002E-2</v>
      </c>
      <c r="O107" s="51">
        <v>0.17829999999999999</v>
      </c>
      <c r="P107" s="51">
        <v>8.9200000000000002E-2</v>
      </c>
      <c r="Q107" s="51">
        <v>0.17829999999999999</v>
      </c>
      <c r="R107" s="51">
        <v>7.3200000000000001E-2</v>
      </c>
    </row>
    <row r="108" spans="1:18" x14ac:dyDescent="0.2">
      <c r="A108" s="50">
        <v>2015</v>
      </c>
      <c r="B108" s="51">
        <v>0.18729999999999999</v>
      </c>
      <c r="C108" s="52">
        <v>0.83</v>
      </c>
      <c r="D108" s="51">
        <v>0.17169999999999999</v>
      </c>
      <c r="E108" s="51">
        <v>0.17169999999999999</v>
      </c>
      <c r="F108" s="51">
        <v>0.23699999999999999</v>
      </c>
      <c r="G108" s="51">
        <v>0.17169999999999999</v>
      </c>
      <c r="H108" s="51">
        <v>0.27439999999999998</v>
      </c>
      <c r="I108" s="51">
        <v>0.17169999999999999</v>
      </c>
      <c r="J108" s="51">
        <v>0.30120000000000002</v>
      </c>
      <c r="K108" s="51">
        <v>0.17169999999999999</v>
      </c>
      <c r="L108" s="51">
        <v>0.25590000000000002</v>
      </c>
      <c r="M108" s="51">
        <v>0.17169999999999999</v>
      </c>
      <c r="N108" s="51">
        <v>0.1923</v>
      </c>
      <c r="O108" s="51">
        <v>0.17169999999999999</v>
      </c>
      <c r="P108" s="51">
        <v>0.18459999999999999</v>
      </c>
      <c r="Q108" s="51">
        <v>0.17169999999999999</v>
      </c>
      <c r="R108" s="51">
        <v>0.18729999999999999</v>
      </c>
    </row>
    <row r="109" spans="1:18" x14ac:dyDescent="0.2">
      <c r="A109" s="50">
        <v>2016</v>
      </c>
      <c r="B109" s="51">
        <v>0.26229999999999998</v>
      </c>
      <c r="C109" s="52">
        <v>0.82</v>
      </c>
      <c r="D109" s="51">
        <v>0.4103</v>
      </c>
      <c r="E109" s="51">
        <v>0.4103</v>
      </c>
      <c r="F109" s="51">
        <v>0.32200000000000001</v>
      </c>
      <c r="G109" s="51">
        <v>0.4103</v>
      </c>
      <c r="H109" s="51">
        <v>0.12859999999999999</v>
      </c>
      <c r="I109" s="51">
        <v>0.4103</v>
      </c>
      <c r="J109" s="51">
        <v>0.32829999999999998</v>
      </c>
      <c r="K109" s="51">
        <v>0.4103</v>
      </c>
      <c r="L109" s="51">
        <v>0.2762</v>
      </c>
      <c r="M109" s="51">
        <v>0.4103</v>
      </c>
      <c r="N109" s="51">
        <v>0.26300000000000001</v>
      </c>
      <c r="O109" s="51">
        <v>0.4103</v>
      </c>
      <c r="P109" s="51">
        <v>0.2535</v>
      </c>
      <c r="Q109" s="51">
        <v>0.4103</v>
      </c>
      <c r="R109" s="51">
        <v>0.26229999999999998</v>
      </c>
    </row>
    <row r="110" spans="1:18" x14ac:dyDescent="0.2">
      <c r="A110" s="50">
        <v>2017</v>
      </c>
      <c r="B110" s="51">
        <v>0.20280000000000001</v>
      </c>
      <c r="C110" s="52">
        <v>0.77</v>
      </c>
      <c r="D110" s="51">
        <v>0.36749999999999999</v>
      </c>
      <c r="E110" s="51">
        <v>0.36749999999999999</v>
      </c>
      <c r="F110" s="51">
        <v>0.30099999999999999</v>
      </c>
      <c r="G110" s="51">
        <v>0.36749999999999999</v>
      </c>
      <c r="H110" s="51">
        <v>0.31919999999999998</v>
      </c>
      <c r="I110" s="51">
        <v>0.36749999999999999</v>
      </c>
      <c r="J110" s="51">
        <v>0.2198</v>
      </c>
      <c r="K110" s="51">
        <v>0.36749999999999999</v>
      </c>
      <c r="L110" s="51">
        <v>0.20979999999999999</v>
      </c>
      <c r="M110" s="51">
        <v>0.36749999999999999</v>
      </c>
      <c r="N110" s="51">
        <v>0.2122</v>
      </c>
      <c r="O110" s="51">
        <v>0.36749999999999999</v>
      </c>
      <c r="P110" s="51">
        <v>0.20710000000000001</v>
      </c>
      <c r="Q110" s="51">
        <v>0.36749999999999999</v>
      </c>
      <c r="R110" s="51">
        <v>0.20280000000000001</v>
      </c>
    </row>
    <row r="111" spans="1:18" x14ac:dyDescent="0.2">
      <c r="A111" s="50">
        <v>2018</v>
      </c>
      <c r="B111" s="51">
        <v>0.22600000000000001</v>
      </c>
      <c r="C111" s="52">
        <v>0.8</v>
      </c>
      <c r="D111" s="51">
        <v>0.24679999999999999</v>
      </c>
      <c r="E111" s="51">
        <v>0.24679999999999999</v>
      </c>
      <c r="F111" s="51">
        <v>0.12</v>
      </c>
      <c r="G111" s="51">
        <v>0.24679999999999999</v>
      </c>
      <c r="H111" s="51">
        <v>0.41720000000000002</v>
      </c>
      <c r="I111" s="51">
        <v>0.24679999999999999</v>
      </c>
      <c r="J111" s="51">
        <v>0.22459999999999999</v>
      </c>
      <c r="K111" s="51">
        <v>0.24679999999999999</v>
      </c>
      <c r="L111" s="51">
        <v>0.21210000000000001</v>
      </c>
      <c r="M111" s="51">
        <v>0.24679999999999999</v>
      </c>
      <c r="N111" s="51">
        <v>0.22120000000000001</v>
      </c>
      <c r="O111" s="51">
        <v>0.24679999999999999</v>
      </c>
      <c r="P111" s="51">
        <v>0.2319</v>
      </c>
      <c r="Q111" s="51">
        <v>0.24679999999999999</v>
      </c>
      <c r="R111" s="51">
        <v>0.22600000000000001</v>
      </c>
    </row>
    <row r="112" spans="1:18" x14ac:dyDescent="0.2">
      <c r="A112" s="50">
        <v>2019</v>
      </c>
      <c r="B112" s="51">
        <v>0.36969999999999997</v>
      </c>
      <c r="C112" s="52">
        <v>0.92</v>
      </c>
      <c r="D112" s="51">
        <v>0.3518</v>
      </c>
      <c r="E112" s="51">
        <v>0.3518</v>
      </c>
      <c r="F112" s="51">
        <v>0.34449999999999997</v>
      </c>
      <c r="G112" s="51">
        <v>0.3518</v>
      </c>
      <c r="H112" s="51">
        <v>0.40920000000000001</v>
      </c>
      <c r="I112" s="51">
        <v>0.3518</v>
      </c>
      <c r="J112" s="51">
        <v>0.35349999999999998</v>
      </c>
      <c r="K112" s="51">
        <v>0.3518</v>
      </c>
      <c r="L112" s="51">
        <v>0.36969999999999997</v>
      </c>
      <c r="M112" s="51">
        <v>0.3518</v>
      </c>
      <c r="N112" s="51">
        <v>0.35220000000000001</v>
      </c>
      <c r="O112" s="51">
        <v>0.3518</v>
      </c>
      <c r="P112" s="51">
        <v>0.3458</v>
      </c>
      <c r="Q112" s="51">
        <v>0.3518</v>
      </c>
      <c r="R112" s="51">
        <v>0.36969999999999997</v>
      </c>
    </row>
    <row r="113" spans="1:18" x14ac:dyDescent="0.2">
      <c r="A113" s="50">
        <v>2020</v>
      </c>
      <c r="B113" s="51">
        <v>0.36120000000000002</v>
      </c>
      <c r="C113" s="52">
        <v>0.94</v>
      </c>
      <c r="D113" s="51">
        <v>0.46100000000000002</v>
      </c>
      <c r="E113" s="51">
        <v>0.46100000000000002</v>
      </c>
      <c r="F113" s="51">
        <v>0.45750000000000002</v>
      </c>
      <c r="G113" s="51">
        <v>0.46100000000000002</v>
      </c>
      <c r="H113" s="51">
        <v>0.23080000000000001</v>
      </c>
      <c r="I113" s="51">
        <v>0.46100000000000002</v>
      </c>
      <c r="J113" s="51">
        <v>0.34839999999999999</v>
      </c>
      <c r="K113" s="51">
        <v>0.46100000000000002</v>
      </c>
      <c r="L113" s="51">
        <v>0.3221</v>
      </c>
      <c r="M113" s="51">
        <v>0.46100000000000002</v>
      </c>
      <c r="N113" s="51">
        <v>0.33879999999999999</v>
      </c>
      <c r="O113" s="51">
        <v>0.46100000000000002</v>
      </c>
      <c r="P113" s="51">
        <v>0.36099999999999999</v>
      </c>
      <c r="Q113" s="51">
        <v>0.46100000000000002</v>
      </c>
      <c r="R113" s="51">
        <v>0.36120000000000002</v>
      </c>
    </row>
    <row r="114" spans="1:18" x14ac:dyDescent="0.2">
      <c r="A114" s="50">
        <v>2021</v>
      </c>
      <c r="B114" s="51">
        <v>0.21360000000000001</v>
      </c>
      <c r="C114" s="52">
        <v>0.84</v>
      </c>
      <c r="D114" s="51">
        <v>0.25240000000000001</v>
      </c>
      <c r="E114" s="51">
        <v>0.25240000000000001</v>
      </c>
      <c r="F114" s="51">
        <v>0.4335</v>
      </c>
      <c r="G114" s="51">
        <v>0.25240000000000001</v>
      </c>
      <c r="H114" s="51">
        <v>0.50419999999999998</v>
      </c>
      <c r="I114" s="51">
        <v>0.25240000000000001</v>
      </c>
      <c r="J114" s="51">
        <v>0.27389999999999998</v>
      </c>
      <c r="K114" s="51">
        <v>0.25240000000000001</v>
      </c>
      <c r="L114" s="51">
        <v>0.2223</v>
      </c>
      <c r="M114" s="51">
        <v>0.25240000000000001</v>
      </c>
      <c r="N114" s="51">
        <v>0.2087</v>
      </c>
      <c r="O114" s="51">
        <v>0.25240000000000001</v>
      </c>
      <c r="P114" s="51">
        <v>0.2026</v>
      </c>
      <c r="Q114" s="51">
        <v>0.25240000000000001</v>
      </c>
      <c r="R114" s="51">
        <v>0.21360000000000001</v>
      </c>
    </row>
    <row r="115" spans="1:18" x14ac:dyDescent="0.2">
      <c r="A115" s="50">
        <v>2022</v>
      </c>
      <c r="B115" s="51">
        <v>0.30890000000000001</v>
      </c>
      <c r="C115" s="52">
        <v>0.92</v>
      </c>
      <c r="D115" s="51">
        <v>0.25080000000000002</v>
      </c>
      <c r="E115" s="51">
        <v>0.25080000000000002</v>
      </c>
      <c r="F115" s="51">
        <v>0.252</v>
      </c>
      <c r="G115" s="51">
        <v>0.25080000000000002</v>
      </c>
      <c r="H115" s="51">
        <v>0.76280000000000003</v>
      </c>
      <c r="I115" s="51">
        <v>0.25080000000000002</v>
      </c>
      <c r="J115" s="51">
        <v>0.30599999999999999</v>
      </c>
      <c r="K115" s="51">
        <v>0.25080000000000002</v>
      </c>
      <c r="L115" s="51">
        <v>0.32600000000000001</v>
      </c>
      <c r="M115" s="51">
        <v>0.25080000000000002</v>
      </c>
      <c r="N115" s="51">
        <v>0.3226</v>
      </c>
      <c r="O115" s="51">
        <v>0.25080000000000002</v>
      </c>
      <c r="P115" s="51">
        <v>0.32769999999999999</v>
      </c>
      <c r="Q115" s="51">
        <v>0.25080000000000002</v>
      </c>
      <c r="R115" s="51">
        <v>0.30890000000000001</v>
      </c>
    </row>
    <row r="116" spans="1:18" x14ac:dyDescent="0.2">
      <c r="A116" s="50">
        <v>2023</v>
      </c>
      <c r="B116" s="51">
        <v>0.53200000000000003</v>
      </c>
      <c r="C116" s="52">
        <v>1.07</v>
      </c>
      <c r="D116" s="51">
        <v>0.39040000000000002</v>
      </c>
      <c r="E116" s="51">
        <v>0.39040000000000002</v>
      </c>
      <c r="F116" s="51">
        <v>0.48299999999999998</v>
      </c>
      <c r="G116" s="51">
        <v>0.39040000000000002</v>
      </c>
      <c r="H116" s="51">
        <v>0.45019999999999999</v>
      </c>
      <c r="I116" s="51">
        <v>0.39040000000000002</v>
      </c>
      <c r="J116" s="51">
        <v>0.61070000000000002</v>
      </c>
      <c r="K116" s="51">
        <v>0.39040000000000002</v>
      </c>
      <c r="L116" s="51">
        <v>0.59099999999999997</v>
      </c>
      <c r="M116" s="51">
        <v>0.39040000000000002</v>
      </c>
      <c r="N116" s="51">
        <v>0.55430000000000001</v>
      </c>
      <c r="O116" s="51">
        <v>0.39040000000000002</v>
      </c>
      <c r="P116" s="51">
        <v>0.53659999999999997</v>
      </c>
      <c r="Q116" s="51">
        <v>0.39040000000000002</v>
      </c>
      <c r="R116" s="51">
        <v>0.53200000000000003</v>
      </c>
    </row>
    <row r="117" spans="1:18" x14ac:dyDescent="0.2">
      <c r="A117" s="50">
        <v>2024</v>
      </c>
      <c r="B117" s="51">
        <v>0.67530000000000001</v>
      </c>
      <c r="C117" s="52">
        <v>1.18</v>
      </c>
      <c r="D117" s="51">
        <v>0.64690000000000003</v>
      </c>
      <c r="E117" s="51">
        <v>0.64690000000000003</v>
      </c>
      <c r="F117" s="51">
        <v>0.83550000000000002</v>
      </c>
      <c r="G117" s="51">
        <v>0.64690000000000003</v>
      </c>
      <c r="I117" s="51">
        <v>0.64690000000000003</v>
      </c>
      <c r="J117" s="51">
        <v>0.72699999999999998</v>
      </c>
      <c r="K117" s="51">
        <v>0.64690000000000003</v>
      </c>
      <c r="L117" s="51">
        <v>0.74870000000000003</v>
      </c>
      <c r="M117" s="51">
        <v>0.64690000000000003</v>
      </c>
      <c r="N117" s="51">
        <v>0.72199999999999998</v>
      </c>
      <c r="O117" s="51">
        <v>0.64690000000000003</v>
      </c>
      <c r="P117" s="51">
        <v>0.68789999999999996</v>
      </c>
      <c r="Q117" s="51">
        <v>0.64690000000000003</v>
      </c>
      <c r="R117" s="51">
        <v>0.67530000000000001</v>
      </c>
    </row>
    <row r="118" spans="1:18" x14ac:dyDescent="0.2">
      <c r="A118" s="50">
        <v>2025</v>
      </c>
      <c r="B118" s="51">
        <v>0.47510000000000002</v>
      </c>
      <c r="C118" s="52">
        <v>0.96</v>
      </c>
      <c r="D118" s="51">
        <v>0.52569999999999995</v>
      </c>
      <c r="E118" s="51">
        <v>0.52569999999999995</v>
      </c>
      <c r="F118" s="51">
        <v>0.48649999999999999</v>
      </c>
      <c r="G118" s="51">
        <v>0.52569999999999995</v>
      </c>
      <c r="I118" s="51">
        <v>0.52569999999999995</v>
      </c>
      <c r="J118" s="51">
        <v>0.43669999999999998</v>
      </c>
      <c r="K118" s="51">
        <v>0.52569999999999995</v>
      </c>
      <c r="L118" s="51">
        <v>0.47620000000000001</v>
      </c>
      <c r="M118" s="51">
        <v>0.52569999999999995</v>
      </c>
      <c r="N118" s="51">
        <v>0.48430000000000001</v>
      </c>
      <c r="O118" s="51">
        <v>0.52569999999999995</v>
      </c>
      <c r="P118" s="51">
        <v>0.47839999999999999</v>
      </c>
      <c r="Q118" s="51">
        <v>0.52569999999999995</v>
      </c>
      <c r="R118" s="51">
        <v>0.47510000000000002</v>
      </c>
    </row>
    <row r="142" spans="10:10" x14ac:dyDescent="0.2">
      <c r="J142" s="61"/>
    </row>
    <row r="143" spans="10:10" x14ac:dyDescent="0.2">
      <c r="J143" s="61"/>
    </row>
    <row r="144" spans="10:10" x14ac:dyDescent="0.2">
      <c r="J144" s="61"/>
    </row>
    <row r="145" spans="10:18" x14ac:dyDescent="0.2">
      <c r="J145" s="61"/>
      <c r="K145" s="61"/>
      <c r="L145" s="61"/>
      <c r="M145" s="61"/>
      <c r="N145" s="61"/>
      <c r="O145" s="61"/>
    </row>
    <row r="146" spans="10:18" x14ac:dyDescent="0.2">
      <c r="J146" s="61"/>
      <c r="K146" s="61"/>
      <c r="L146" s="61"/>
      <c r="M146" s="61"/>
      <c r="N146" s="61"/>
      <c r="O146" s="61"/>
    </row>
    <row r="147" spans="10:18" x14ac:dyDescent="0.2"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10:18" x14ac:dyDescent="0.2"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10:18" x14ac:dyDescent="0.2"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10:18" x14ac:dyDescent="0.2"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10:18" x14ac:dyDescent="0.2"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10:18" x14ac:dyDescent="0.2"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10:18" x14ac:dyDescent="0.2"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10:18" x14ac:dyDescent="0.2"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10:18" x14ac:dyDescent="0.2">
      <c r="K155" s="61"/>
      <c r="L155" s="61"/>
      <c r="M155" s="61"/>
      <c r="N155" s="61"/>
      <c r="O155" s="61"/>
      <c r="P155" s="61"/>
      <c r="Q155" s="61"/>
      <c r="R155" s="61"/>
    </row>
    <row r="156" spans="10:18" x14ac:dyDescent="0.2">
      <c r="K156" s="61"/>
      <c r="L156" s="61"/>
      <c r="M156" s="61"/>
      <c r="N156" s="61"/>
      <c r="O156" s="61"/>
      <c r="P156" s="61"/>
      <c r="Q156" s="61"/>
      <c r="R156" s="61"/>
    </row>
    <row r="157" spans="10:18" x14ac:dyDescent="0.2">
      <c r="K157" s="61"/>
      <c r="L157" s="61"/>
      <c r="M157" s="61"/>
      <c r="N157" s="61"/>
      <c r="O157" s="61"/>
      <c r="P157" s="61"/>
      <c r="Q157" s="61"/>
      <c r="R157" s="61"/>
    </row>
    <row r="158" spans="10:18" x14ac:dyDescent="0.2">
      <c r="P158" s="61"/>
      <c r="Q158" s="61"/>
      <c r="R158" s="61"/>
    </row>
    <row r="159" spans="10:18" x14ac:dyDescent="0.2">
      <c r="P159" s="61"/>
      <c r="Q159" s="61"/>
      <c r="R159" s="61"/>
    </row>
    <row r="172" spans="1:2" x14ac:dyDescent="0.2">
      <c r="A172" s="2" t="s">
        <v>161</v>
      </c>
      <c r="B172" s="10">
        <f>COUNT($B$2:$B$35)</f>
        <v>16</v>
      </c>
    </row>
    <row r="173" spans="1:2" x14ac:dyDescent="0.2">
      <c r="A173" s="2" t="s">
        <v>162</v>
      </c>
      <c r="B173" s="13">
        <f>IFERROR(MEDIAN($B$2:$B$35),"")</f>
        <v>0.60250000000000004</v>
      </c>
    </row>
    <row r="174" spans="1:2" x14ac:dyDescent="0.2">
      <c r="A174" s="2" t="s">
        <v>166</v>
      </c>
      <c r="B174" s="13">
        <f>IFERROR(STDEV($B$2:$B$35),"")</f>
        <v>6.3985903395461563E-2</v>
      </c>
    </row>
    <row r="175" spans="1:2" x14ac:dyDescent="0.2">
      <c r="A175" s="2" t="s">
        <v>163</v>
      </c>
      <c r="B175" s="10">
        <f>IFERROR(SUM($F$2:$F$18),"")</f>
        <v>4.7399999999999998E-2</v>
      </c>
    </row>
  </sheetData>
  <mergeCells count="4">
    <mergeCell ref="F65:O65"/>
    <mergeCell ref="A18:O18"/>
    <mergeCell ref="A64:O64"/>
    <mergeCell ref="A1:O1"/>
  </mergeCells>
  <conditionalFormatting sqref="C78">
    <cfRule type="cellIs" dxfId="4" priority="7" operator="greaterThanOrEqual">
      <formula>0.35</formula>
    </cfRule>
    <cfRule type="cellIs" dxfId="3" priority="8" operator="lessThan">
      <formula>0.15</formula>
    </cfRule>
  </conditionalFormatting>
  <conditionalFormatting sqref="B93">
    <cfRule type="expression" dxfId="0" priority="12">
      <formula>ISNUMBER(SEARCH("WARN",$B$93))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H66"/>
  <sheetViews>
    <sheetView showGridLines="0" zoomScale="57" workbookViewId="0">
      <selection activeCell="E68" sqref="E68"/>
    </sheetView>
  </sheetViews>
  <sheetFormatPr baseColWidth="10" defaultColWidth="8.83203125" defaultRowHeight="15" x14ac:dyDescent="0.2"/>
  <cols>
    <col min="1" max="1" width="25" bestFit="1" customWidth="1"/>
    <col min="2" max="2" width="14.83203125" bestFit="1" customWidth="1"/>
    <col min="3" max="4" width="12" customWidth="1"/>
    <col min="5" max="6" width="15" customWidth="1"/>
    <col min="7" max="7" width="12" customWidth="1"/>
    <col min="8" max="8" width="17" customWidth="1"/>
  </cols>
  <sheetData>
    <row r="5" ht="30" customHeight="1" x14ac:dyDescent="0.2"/>
    <row r="64" spans="1:8" ht="16" x14ac:dyDescent="0.2">
      <c r="A64" s="59"/>
      <c r="E64" s="60"/>
      <c r="G64" s="1"/>
      <c r="H64" s="60"/>
    </row>
    <row r="66" spans="1:1" x14ac:dyDescent="0.2">
      <c r="A66" s="5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7283-FA13-344F-ABAD-C79A79EE9A5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394D-28EB-C14D-B561-EC9E7833DEA1}">
  <dimension ref="A1"/>
  <sheetViews>
    <sheetView workbookViewId="0">
      <selection activeCell="H38" sqref="A1:XFD1048576"/>
    </sheetView>
  </sheetViews>
  <sheetFormatPr baseColWidth="10" defaultRowHeight="15" x14ac:dyDescent="0.2"/>
  <cols>
    <col min="1" max="16384" width="10.83203125" style="6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Jun_2026</vt:lpstr>
      <vt:lpstr>Jul_2026</vt:lpstr>
      <vt:lpstr>Aug_2026</vt:lpstr>
      <vt:lpstr>Sep_2026</vt:lpstr>
      <vt:lpstr>Jun_2026!Print_Titles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cardozo</cp:lastModifiedBy>
  <dcterms:created xsi:type="dcterms:W3CDTF">2026-07-25T09:05:19Z</dcterms:created>
  <dcterms:modified xsi:type="dcterms:W3CDTF">2026-07-28T03:59:09Z</dcterms:modified>
</cp:coreProperties>
</file>