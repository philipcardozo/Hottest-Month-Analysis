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felipecardozo/Desktop/Stats/Hottest Month/"/>
    </mc:Choice>
  </mc:AlternateContent>
  <xr:revisionPtr revIDLastSave="0" documentId="13_ncr:1_{B2540746-8222-FE4B-8C98-2F738DD433BF}" xr6:coauthVersionLast="47" xr6:coauthVersionMax="47" xr10:uidLastSave="{00000000-0000-0000-0000-000000000000}"/>
  <bookViews>
    <workbookView xWindow="0" yWindow="660" windowWidth="30240" windowHeight="18980" xr2:uid="{00000000-000D-0000-FFFF-FFFF00000000}"/>
  </bookViews>
  <sheets>
    <sheet name="Aug2026_Live" sheetId="1" r:id="rId1"/>
    <sheet name="ENS_members_raw" sheetId="2" r:id="rId2"/>
    <sheet name="Fcst_log" sheetId="3" r:id="rId3"/>
  </sheets>
  <definedNames>
    <definedName name="_xlnm.Print_Titles" localSheetId="0">Aug2026_Live!$48:$48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E125" i="3"/>
  <c r="F125" i="3" s="1"/>
  <c r="E124" i="3"/>
  <c r="F124" i="3" s="1"/>
  <c r="E123" i="3"/>
  <c r="F123" i="3" s="1"/>
  <c r="E122" i="3"/>
  <c r="F122" i="3" s="1"/>
  <c r="E121" i="3"/>
  <c r="F121" i="3" s="1"/>
  <c r="E120" i="3"/>
  <c r="F120" i="3" s="1"/>
  <c r="E119" i="3"/>
  <c r="F119" i="3" s="1"/>
  <c r="E118" i="3"/>
  <c r="F118" i="3" s="1"/>
  <c r="E117" i="3"/>
  <c r="F117" i="3" s="1"/>
  <c r="E116" i="3"/>
  <c r="F116" i="3" s="1"/>
  <c r="E115" i="3"/>
  <c r="F115" i="3" s="1"/>
  <c r="E114" i="3"/>
  <c r="F114" i="3" s="1"/>
  <c r="E113" i="3"/>
  <c r="F113" i="3" s="1"/>
  <c r="E112" i="3"/>
  <c r="F112" i="3" s="1"/>
  <c r="E111" i="3"/>
  <c r="F111" i="3" s="1"/>
  <c r="E110" i="3"/>
  <c r="F110" i="3" s="1"/>
  <c r="E109" i="3"/>
  <c r="F109" i="3" s="1"/>
  <c r="E108" i="3"/>
  <c r="F108" i="3" s="1"/>
  <c r="E107" i="3"/>
  <c r="F107" i="3" s="1"/>
  <c r="E106" i="3"/>
  <c r="F106" i="3" s="1"/>
  <c r="E105" i="3"/>
  <c r="F105" i="3" s="1"/>
  <c r="E104" i="3"/>
  <c r="F104" i="3" s="1"/>
  <c r="E103" i="3"/>
  <c r="F103" i="3" s="1"/>
  <c r="E102" i="3"/>
  <c r="F102" i="3" s="1"/>
  <c r="E101" i="3"/>
  <c r="F101" i="3" s="1"/>
  <c r="E100" i="3"/>
  <c r="F100" i="3" s="1"/>
  <c r="E99" i="3"/>
  <c r="F99" i="3" s="1"/>
  <c r="E98" i="3"/>
  <c r="F98" i="3" s="1"/>
  <c r="E97" i="3"/>
  <c r="F97" i="3" s="1"/>
  <c r="E96" i="3"/>
  <c r="F96" i="3" s="1"/>
  <c r="E95" i="3"/>
  <c r="F95" i="3" s="1"/>
  <c r="E94" i="3"/>
  <c r="F94" i="3" s="1"/>
  <c r="E93" i="3"/>
  <c r="F93" i="3" s="1"/>
  <c r="E92" i="3"/>
  <c r="F92" i="3" s="1"/>
  <c r="E91" i="3"/>
  <c r="F91" i="3" s="1"/>
  <c r="E90" i="3"/>
  <c r="F90" i="3" s="1"/>
  <c r="E89" i="3"/>
  <c r="F89" i="3" s="1"/>
  <c r="E88" i="3"/>
  <c r="F88" i="3" s="1"/>
  <c r="E87" i="3"/>
  <c r="F87" i="3" s="1"/>
  <c r="E86" i="3"/>
  <c r="F86" i="3" s="1"/>
  <c r="E85" i="3"/>
  <c r="F85" i="3" s="1"/>
  <c r="E84" i="3"/>
  <c r="F84" i="3" s="1"/>
  <c r="E83" i="3"/>
  <c r="F83" i="3" s="1"/>
  <c r="E82" i="3"/>
  <c r="F82" i="3" s="1"/>
  <c r="E81" i="3"/>
  <c r="F81" i="3" s="1"/>
  <c r="E80" i="3"/>
  <c r="F80" i="3" s="1"/>
  <c r="E79" i="3"/>
  <c r="F79" i="3" s="1"/>
  <c r="E78" i="3"/>
  <c r="F78" i="3" s="1"/>
  <c r="E77" i="3"/>
  <c r="F77" i="3" s="1"/>
  <c r="E76" i="3"/>
  <c r="F76" i="3" s="1"/>
  <c r="E75" i="3"/>
  <c r="F75" i="3" s="1"/>
  <c r="E74" i="3"/>
  <c r="F74" i="3" s="1"/>
  <c r="E73" i="3"/>
  <c r="F73" i="3" s="1"/>
  <c r="E72" i="3"/>
  <c r="F72" i="3" s="1"/>
  <c r="E71" i="3"/>
  <c r="F71" i="3" s="1"/>
  <c r="E70" i="3"/>
  <c r="F70" i="3" s="1"/>
  <c r="E69" i="3"/>
  <c r="F69" i="3" s="1"/>
  <c r="E68" i="3"/>
  <c r="F68" i="3" s="1"/>
  <c r="E67" i="3"/>
  <c r="F67" i="3" s="1"/>
  <c r="E66" i="3"/>
  <c r="F66" i="3" s="1"/>
  <c r="E65" i="3"/>
  <c r="F65" i="3" s="1"/>
  <c r="E64" i="3"/>
  <c r="F64" i="3" s="1"/>
  <c r="E63" i="3"/>
  <c r="F63" i="3" s="1"/>
  <c r="E62" i="3"/>
  <c r="F62" i="3" s="1"/>
  <c r="E61" i="3"/>
  <c r="F61" i="3" s="1"/>
  <c r="E60" i="3"/>
  <c r="F60" i="3" s="1"/>
  <c r="E59" i="3"/>
  <c r="F59" i="3" s="1"/>
  <c r="E58" i="3"/>
  <c r="F58" i="3" s="1"/>
  <c r="E57" i="3"/>
  <c r="F57" i="3" s="1"/>
  <c r="E56" i="3"/>
  <c r="F56" i="3" s="1"/>
  <c r="E55" i="3"/>
  <c r="F55" i="3" s="1"/>
  <c r="E54" i="3"/>
  <c r="F54" i="3" s="1"/>
  <c r="E53" i="3"/>
  <c r="F53" i="3" s="1"/>
  <c r="E52" i="3"/>
  <c r="F52" i="3" s="1"/>
  <c r="E51" i="3"/>
  <c r="F51" i="3" s="1"/>
  <c r="E50" i="3"/>
  <c r="F50" i="3" s="1"/>
  <c r="E49" i="3"/>
  <c r="F49" i="3" s="1"/>
  <c r="E48" i="3"/>
  <c r="F48" i="3" s="1"/>
  <c r="E47" i="3"/>
  <c r="F47" i="3" s="1"/>
  <c r="E46" i="3"/>
  <c r="F46" i="3" s="1"/>
  <c r="E45" i="3"/>
  <c r="F45" i="3" s="1"/>
  <c r="E44" i="3"/>
  <c r="F44" i="3" s="1"/>
  <c r="E43" i="3"/>
  <c r="F43" i="3" s="1"/>
  <c r="E42" i="3"/>
  <c r="F42" i="3" s="1"/>
  <c r="E41" i="3"/>
  <c r="F41" i="3" s="1"/>
  <c r="E40" i="3"/>
  <c r="F40" i="3" s="1"/>
  <c r="E39" i="3"/>
  <c r="F39" i="3" s="1"/>
  <c r="E38" i="3"/>
  <c r="F38" i="3" s="1"/>
  <c r="E37" i="3"/>
  <c r="F37" i="3" s="1"/>
  <c r="E36" i="3"/>
  <c r="F36" i="3" s="1"/>
  <c r="E35" i="3"/>
  <c r="F35" i="3" s="1"/>
  <c r="E34" i="3"/>
  <c r="F34" i="3" s="1"/>
  <c r="E33" i="3"/>
  <c r="F33" i="3" s="1"/>
  <c r="E32" i="3"/>
  <c r="F32" i="3" s="1"/>
  <c r="E31" i="3"/>
  <c r="F31" i="3" s="1"/>
  <c r="E30" i="3"/>
  <c r="F30" i="3" s="1"/>
  <c r="E29" i="3"/>
  <c r="F29" i="3" s="1"/>
  <c r="E28" i="3"/>
  <c r="F28" i="3" s="1"/>
  <c r="E27" i="3"/>
  <c r="F27" i="3" s="1"/>
  <c r="E26" i="3"/>
  <c r="F26" i="3" s="1"/>
  <c r="E25" i="3"/>
  <c r="F25" i="3" s="1"/>
  <c r="E24" i="3"/>
  <c r="F24" i="3" s="1"/>
  <c r="E23" i="3"/>
  <c r="F23" i="3" s="1"/>
  <c r="E22" i="3"/>
  <c r="F22" i="3" s="1"/>
  <c r="E21" i="3"/>
  <c r="F21" i="3" s="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F6" i="3"/>
  <c r="B61" i="2"/>
  <c r="C60" i="2"/>
  <c r="B60" i="2"/>
  <c r="B59" i="2"/>
  <c r="B58" i="2"/>
  <c r="G56" i="2"/>
  <c r="F56" i="2"/>
  <c r="D56" i="2"/>
  <c r="E56" i="2" s="1"/>
  <c r="C56" i="2"/>
  <c r="G55" i="2"/>
  <c r="F55" i="2"/>
  <c r="D55" i="2"/>
  <c r="C55" i="2"/>
  <c r="E55" i="2" s="1"/>
  <c r="G54" i="2"/>
  <c r="F54" i="2"/>
  <c r="D54" i="2"/>
  <c r="E54" i="2" s="1"/>
  <c r="C54" i="2"/>
  <c r="G53" i="2"/>
  <c r="F53" i="2"/>
  <c r="D53" i="2"/>
  <c r="C53" i="2"/>
  <c r="E53" i="2" s="1"/>
  <c r="G52" i="2"/>
  <c r="F52" i="2"/>
  <c r="E52" i="2"/>
  <c r="D52" i="2"/>
  <c r="C52" i="2"/>
  <c r="G51" i="2"/>
  <c r="F51" i="2"/>
  <c r="D51" i="2"/>
  <c r="C51" i="2"/>
  <c r="E51" i="2" s="1"/>
  <c r="G50" i="2"/>
  <c r="F50" i="2"/>
  <c r="D50" i="2"/>
  <c r="E50" i="2" s="1"/>
  <c r="C50" i="2"/>
  <c r="G49" i="2"/>
  <c r="F49" i="2"/>
  <c r="D49" i="2"/>
  <c r="C49" i="2"/>
  <c r="E49" i="2" s="1"/>
  <c r="G48" i="2"/>
  <c r="F48" i="2"/>
  <c r="E48" i="2"/>
  <c r="D48" i="2"/>
  <c r="C48" i="2"/>
  <c r="G47" i="2"/>
  <c r="F47" i="2"/>
  <c r="D47" i="2"/>
  <c r="C47" i="2"/>
  <c r="E47" i="2" s="1"/>
  <c r="G46" i="2"/>
  <c r="F46" i="2"/>
  <c r="D46" i="2"/>
  <c r="E46" i="2" s="1"/>
  <c r="C46" i="2"/>
  <c r="G45" i="2"/>
  <c r="F45" i="2"/>
  <c r="D45" i="2"/>
  <c r="C45" i="2"/>
  <c r="E45" i="2" s="1"/>
  <c r="G44" i="2"/>
  <c r="F44" i="2"/>
  <c r="E44" i="2"/>
  <c r="D44" i="2"/>
  <c r="C44" i="2"/>
  <c r="G43" i="2"/>
  <c r="F43" i="2"/>
  <c r="D43" i="2"/>
  <c r="C43" i="2"/>
  <c r="E43" i="2" s="1"/>
  <c r="G42" i="2"/>
  <c r="F42" i="2"/>
  <c r="D42" i="2"/>
  <c r="E42" i="2" s="1"/>
  <c r="C42" i="2"/>
  <c r="G41" i="2"/>
  <c r="F41" i="2"/>
  <c r="D41" i="2"/>
  <c r="C41" i="2"/>
  <c r="E41" i="2" s="1"/>
  <c r="G40" i="2"/>
  <c r="F40" i="2"/>
  <c r="E40" i="2"/>
  <c r="D40" i="2"/>
  <c r="C40" i="2"/>
  <c r="G39" i="2"/>
  <c r="F39" i="2"/>
  <c r="D39" i="2"/>
  <c r="C39" i="2"/>
  <c r="E39" i="2" s="1"/>
  <c r="G38" i="2"/>
  <c r="F38" i="2"/>
  <c r="D38" i="2"/>
  <c r="E38" i="2" s="1"/>
  <c r="C38" i="2"/>
  <c r="G37" i="2"/>
  <c r="F37" i="2"/>
  <c r="D37" i="2"/>
  <c r="C37" i="2"/>
  <c r="E37" i="2" s="1"/>
  <c r="G36" i="2"/>
  <c r="F36" i="2"/>
  <c r="E36" i="2"/>
  <c r="D36" i="2"/>
  <c r="C36" i="2"/>
  <c r="G35" i="2"/>
  <c r="F35" i="2"/>
  <c r="D35" i="2"/>
  <c r="C35" i="2"/>
  <c r="E35" i="2" s="1"/>
  <c r="G34" i="2"/>
  <c r="F34" i="2"/>
  <c r="D34" i="2"/>
  <c r="E34" i="2" s="1"/>
  <c r="C34" i="2"/>
  <c r="G33" i="2"/>
  <c r="F33" i="2"/>
  <c r="D33" i="2"/>
  <c r="C33" i="2"/>
  <c r="E33" i="2" s="1"/>
  <c r="G32" i="2"/>
  <c r="F32" i="2"/>
  <c r="E32" i="2"/>
  <c r="D32" i="2"/>
  <c r="C32" i="2"/>
  <c r="G31" i="2"/>
  <c r="F31" i="2"/>
  <c r="D31" i="2"/>
  <c r="C31" i="2"/>
  <c r="E31" i="2" s="1"/>
  <c r="G30" i="2"/>
  <c r="F30" i="2"/>
  <c r="D30" i="2"/>
  <c r="E30" i="2" s="1"/>
  <c r="C30" i="2"/>
  <c r="G29" i="2"/>
  <c r="F29" i="2"/>
  <c r="D29" i="2"/>
  <c r="C29" i="2"/>
  <c r="E29" i="2" s="1"/>
  <c r="G28" i="2"/>
  <c r="F28" i="2"/>
  <c r="E28" i="2"/>
  <c r="D28" i="2"/>
  <c r="C28" i="2"/>
  <c r="G27" i="2"/>
  <c r="F27" i="2"/>
  <c r="D27" i="2"/>
  <c r="C27" i="2"/>
  <c r="E27" i="2" s="1"/>
  <c r="G26" i="2"/>
  <c r="F26" i="2"/>
  <c r="D26" i="2"/>
  <c r="E26" i="2" s="1"/>
  <c r="C26" i="2"/>
  <c r="G25" i="2"/>
  <c r="F25" i="2"/>
  <c r="D25" i="2"/>
  <c r="C25" i="2"/>
  <c r="E25" i="2" s="1"/>
  <c r="G24" i="2"/>
  <c r="F24" i="2"/>
  <c r="E24" i="2"/>
  <c r="D24" i="2"/>
  <c r="C24" i="2"/>
  <c r="G23" i="2"/>
  <c r="F23" i="2"/>
  <c r="D23" i="2"/>
  <c r="C23" i="2"/>
  <c r="E23" i="2" s="1"/>
  <c r="G22" i="2"/>
  <c r="F22" i="2"/>
  <c r="D22" i="2"/>
  <c r="E22" i="2" s="1"/>
  <c r="C22" i="2"/>
  <c r="G21" i="2"/>
  <c r="F21" i="2"/>
  <c r="D21" i="2"/>
  <c r="C21" i="2"/>
  <c r="E21" i="2" s="1"/>
  <c r="G20" i="2"/>
  <c r="F20" i="2"/>
  <c r="E20" i="2"/>
  <c r="D20" i="2"/>
  <c r="C20" i="2"/>
  <c r="G19" i="2"/>
  <c r="F19" i="2"/>
  <c r="D19" i="2"/>
  <c r="C19" i="2"/>
  <c r="E19" i="2" s="1"/>
  <c r="G18" i="2"/>
  <c r="F18" i="2"/>
  <c r="D18" i="2"/>
  <c r="E18" i="2" s="1"/>
  <c r="C18" i="2"/>
  <c r="G17" i="2"/>
  <c r="F17" i="2"/>
  <c r="D17" i="2"/>
  <c r="C17" i="2"/>
  <c r="E17" i="2" s="1"/>
  <c r="G16" i="2"/>
  <c r="F16" i="2"/>
  <c r="E16" i="2"/>
  <c r="D16" i="2"/>
  <c r="C16" i="2"/>
  <c r="G15" i="2"/>
  <c r="F15" i="2"/>
  <c r="D15" i="2"/>
  <c r="C15" i="2"/>
  <c r="E15" i="2" s="1"/>
  <c r="G14" i="2"/>
  <c r="F14" i="2"/>
  <c r="D14" i="2"/>
  <c r="C14" i="2"/>
  <c r="E14" i="2" s="1"/>
  <c r="G13" i="2"/>
  <c r="F13" i="2"/>
  <c r="D13" i="2"/>
  <c r="C13" i="2"/>
  <c r="E13" i="2" s="1"/>
  <c r="G12" i="2"/>
  <c r="F12" i="2"/>
  <c r="E12" i="2"/>
  <c r="D12" i="2"/>
  <c r="C12" i="2"/>
  <c r="G11" i="2"/>
  <c r="F11" i="2"/>
  <c r="D11" i="2"/>
  <c r="C11" i="2"/>
  <c r="E11" i="2" s="1"/>
  <c r="G10" i="2"/>
  <c r="F10" i="2"/>
  <c r="D10" i="2"/>
  <c r="C10" i="2"/>
  <c r="E10" i="2" s="1"/>
  <c r="G9" i="2"/>
  <c r="F9" i="2"/>
  <c r="D9" i="2"/>
  <c r="C9" i="2"/>
  <c r="E9" i="2" s="1"/>
  <c r="G8" i="2"/>
  <c r="F8" i="2"/>
  <c r="E8" i="2"/>
  <c r="D8" i="2"/>
  <c r="C8" i="2"/>
  <c r="G7" i="2"/>
  <c r="F7" i="2"/>
  <c r="D7" i="2"/>
  <c r="C7" i="2"/>
  <c r="E7" i="2" s="1"/>
  <c r="G6" i="2"/>
  <c r="F6" i="2"/>
  <c r="B62" i="2" s="1"/>
  <c r="D6" i="2"/>
  <c r="C6" i="2"/>
  <c r="E6" i="2" s="1"/>
  <c r="C142" i="1"/>
  <c r="C132" i="1"/>
  <c r="C133" i="1" s="1"/>
  <c r="C121" i="1"/>
  <c r="C120" i="1"/>
  <c r="C113" i="1"/>
  <c r="C84" i="1"/>
  <c r="C83" i="1"/>
  <c r="C147" i="1" s="1"/>
  <c r="X79" i="1"/>
  <c r="W79" i="1"/>
  <c r="T79" i="1"/>
  <c r="S79" i="1"/>
  <c r="P79" i="1"/>
  <c r="O79" i="1"/>
  <c r="V79" i="1" s="1"/>
  <c r="N79" i="1"/>
  <c r="M79" i="1"/>
  <c r="R79" i="1" s="1"/>
  <c r="L79" i="1"/>
  <c r="K79" i="1"/>
  <c r="X78" i="1"/>
  <c r="W78" i="1"/>
  <c r="U78" i="1"/>
  <c r="S78" i="1"/>
  <c r="P78" i="1"/>
  <c r="O78" i="1"/>
  <c r="V78" i="1" s="1"/>
  <c r="N78" i="1"/>
  <c r="T78" i="1" s="1"/>
  <c r="M78" i="1"/>
  <c r="R78" i="1" s="1"/>
  <c r="L78" i="1"/>
  <c r="K78" i="1"/>
  <c r="X77" i="1"/>
  <c r="W77" i="1"/>
  <c r="V77" i="1"/>
  <c r="U77" i="1"/>
  <c r="S77" i="1"/>
  <c r="Q77" i="1"/>
  <c r="P77" i="1"/>
  <c r="O77" i="1"/>
  <c r="N77" i="1"/>
  <c r="T77" i="1" s="1"/>
  <c r="M77" i="1"/>
  <c r="R77" i="1" s="1"/>
  <c r="L77" i="1"/>
  <c r="K77" i="1"/>
  <c r="X76" i="1"/>
  <c r="W76" i="1"/>
  <c r="T76" i="1"/>
  <c r="S76" i="1"/>
  <c r="Q76" i="1"/>
  <c r="P76" i="1"/>
  <c r="O76" i="1"/>
  <c r="V76" i="1" s="1"/>
  <c r="N76" i="1"/>
  <c r="M76" i="1"/>
  <c r="R76" i="1" s="1"/>
  <c r="L76" i="1"/>
  <c r="K76" i="1"/>
  <c r="X75" i="1"/>
  <c r="W75" i="1"/>
  <c r="S75" i="1"/>
  <c r="P75" i="1"/>
  <c r="O75" i="1"/>
  <c r="V75" i="1" s="1"/>
  <c r="N75" i="1"/>
  <c r="T75" i="1" s="1"/>
  <c r="M75" i="1"/>
  <c r="R75" i="1" s="1"/>
  <c r="L75" i="1"/>
  <c r="K75" i="1"/>
  <c r="X74" i="1"/>
  <c r="W74" i="1"/>
  <c r="U74" i="1"/>
  <c r="S74" i="1"/>
  <c r="P74" i="1"/>
  <c r="O74" i="1"/>
  <c r="V74" i="1" s="1"/>
  <c r="N74" i="1"/>
  <c r="T74" i="1" s="1"/>
  <c r="M74" i="1"/>
  <c r="R74" i="1" s="1"/>
  <c r="L74" i="1"/>
  <c r="K74" i="1"/>
  <c r="X73" i="1"/>
  <c r="W73" i="1"/>
  <c r="V73" i="1"/>
  <c r="U73" i="1"/>
  <c r="S73" i="1"/>
  <c r="Q73" i="1"/>
  <c r="P73" i="1"/>
  <c r="O73" i="1"/>
  <c r="N73" i="1"/>
  <c r="T73" i="1" s="1"/>
  <c r="M73" i="1"/>
  <c r="R73" i="1" s="1"/>
  <c r="L73" i="1"/>
  <c r="K73" i="1"/>
  <c r="X72" i="1"/>
  <c r="W72" i="1"/>
  <c r="T72" i="1"/>
  <c r="S72" i="1"/>
  <c r="Q72" i="1"/>
  <c r="P72" i="1"/>
  <c r="O72" i="1"/>
  <c r="V72" i="1" s="1"/>
  <c r="N72" i="1"/>
  <c r="M72" i="1"/>
  <c r="R72" i="1" s="1"/>
  <c r="L72" i="1"/>
  <c r="K72" i="1"/>
  <c r="X71" i="1"/>
  <c r="W71" i="1"/>
  <c r="S71" i="1"/>
  <c r="P71" i="1"/>
  <c r="O71" i="1"/>
  <c r="V71" i="1" s="1"/>
  <c r="N71" i="1"/>
  <c r="T71" i="1" s="1"/>
  <c r="M71" i="1"/>
  <c r="R71" i="1" s="1"/>
  <c r="L71" i="1"/>
  <c r="K71" i="1"/>
  <c r="X70" i="1"/>
  <c r="W70" i="1"/>
  <c r="U70" i="1"/>
  <c r="S70" i="1"/>
  <c r="P70" i="1"/>
  <c r="O70" i="1"/>
  <c r="V70" i="1" s="1"/>
  <c r="N70" i="1"/>
  <c r="T70" i="1" s="1"/>
  <c r="M70" i="1"/>
  <c r="R70" i="1" s="1"/>
  <c r="L70" i="1"/>
  <c r="K70" i="1"/>
  <c r="X69" i="1"/>
  <c r="W69" i="1"/>
  <c r="V69" i="1"/>
  <c r="U69" i="1"/>
  <c r="S69" i="1"/>
  <c r="Q69" i="1"/>
  <c r="P69" i="1"/>
  <c r="O69" i="1"/>
  <c r="N69" i="1"/>
  <c r="T69" i="1" s="1"/>
  <c r="M69" i="1"/>
  <c r="R69" i="1" s="1"/>
  <c r="L69" i="1"/>
  <c r="K69" i="1"/>
  <c r="X68" i="1"/>
  <c r="W68" i="1"/>
  <c r="T68" i="1"/>
  <c r="S68" i="1"/>
  <c r="Q68" i="1"/>
  <c r="P68" i="1"/>
  <c r="O68" i="1"/>
  <c r="V68" i="1" s="1"/>
  <c r="N68" i="1"/>
  <c r="M68" i="1"/>
  <c r="R68" i="1" s="1"/>
  <c r="L68" i="1"/>
  <c r="K68" i="1"/>
  <c r="X67" i="1"/>
  <c r="W67" i="1"/>
  <c r="S67" i="1"/>
  <c r="P67" i="1"/>
  <c r="O67" i="1"/>
  <c r="V67" i="1" s="1"/>
  <c r="N67" i="1"/>
  <c r="T67" i="1" s="1"/>
  <c r="M67" i="1"/>
  <c r="R67" i="1" s="1"/>
  <c r="L67" i="1"/>
  <c r="K67" i="1"/>
  <c r="X66" i="1"/>
  <c r="W66" i="1"/>
  <c r="U66" i="1"/>
  <c r="S66" i="1"/>
  <c r="P66" i="1"/>
  <c r="O66" i="1"/>
  <c r="V66" i="1" s="1"/>
  <c r="N66" i="1"/>
  <c r="T66" i="1" s="1"/>
  <c r="M66" i="1"/>
  <c r="R66" i="1" s="1"/>
  <c r="L66" i="1"/>
  <c r="K66" i="1"/>
  <c r="X65" i="1"/>
  <c r="W65" i="1"/>
  <c r="V65" i="1"/>
  <c r="U65" i="1"/>
  <c r="S65" i="1"/>
  <c r="Q65" i="1"/>
  <c r="P65" i="1"/>
  <c r="O65" i="1"/>
  <c r="N65" i="1"/>
  <c r="T65" i="1" s="1"/>
  <c r="M65" i="1"/>
  <c r="R65" i="1" s="1"/>
  <c r="L65" i="1"/>
  <c r="K65" i="1"/>
  <c r="X64" i="1"/>
  <c r="W64" i="1"/>
  <c r="T64" i="1"/>
  <c r="S64" i="1"/>
  <c r="Q64" i="1"/>
  <c r="P64" i="1"/>
  <c r="O64" i="1"/>
  <c r="V64" i="1" s="1"/>
  <c r="N64" i="1"/>
  <c r="M64" i="1"/>
  <c r="R64" i="1" s="1"/>
  <c r="L64" i="1"/>
  <c r="K64" i="1"/>
  <c r="X63" i="1"/>
  <c r="W63" i="1"/>
  <c r="S63" i="1"/>
  <c r="P63" i="1"/>
  <c r="O63" i="1"/>
  <c r="V63" i="1" s="1"/>
  <c r="N63" i="1"/>
  <c r="T63" i="1" s="1"/>
  <c r="M63" i="1"/>
  <c r="R63" i="1" s="1"/>
  <c r="L63" i="1"/>
  <c r="K63" i="1"/>
  <c r="X62" i="1"/>
  <c r="W62" i="1"/>
  <c r="U62" i="1"/>
  <c r="S62" i="1"/>
  <c r="P62" i="1"/>
  <c r="O62" i="1"/>
  <c r="V62" i="1" s="1"/>
  <c r="N62" i="1"/>
  <c r="T62" i="1" s="1"/>
  <c r="M62" i="1"/>
  <c r="R62" i="1" s="1"/>
  <c r="L62" i="1"/>
  <c r="K62" i="1"/>
  <c r="X61" i="1"/>
  <c r="W61" i="1"/>
  <c r="V61" i="1"/>
  <c r="U61" i="1"/>
  <c r="S61" i="1"/>
  <c r="Q61" i="1"/>
  <c r="P61" i="1"/>
  <c r="O61" i="1"/>
  <c r="N61" i="1"/>
  <c r="T61" i="1" s="1"/>
  <c r="M61" i="1"/>
  <c r="R61" i="1" s="1"/>
  <c r="L61" i="1"/>
  <c r="K61" i="1"/>
  <c r="X60" i="1"/>
  <c r="W60" i="1"/>
  <c r="T60" i="1"/>
  <c r="S60" i="1"/>
  <c r="Q60" i="1"/>
  <c r="P60" i="1"/>
  <c r="O60" i="1"/>
  <c r="V60" i="1" s="1"/>
  <c r="N60" i="1"/>
  <c r="M60" i="1"/>
  <c r="R60" i="1" s="1"/>
  <c r="L60" i="1"/>
  <c r="K60" i="1"/>
  <c r="X59" i="1"/>
  <c r="W59" i="1"/>
  <c r="S59" i="1"/>
  <c r="P59" i="1"/>
  <c r="O59" i="1"/>
  <c r="V59" i="1" s="1"/>
  <c r="N59" i="1"/>
  <c r="T59" i="1" s="1"/>
  <c r="M59" i="1"/>
  <c r="R59" i="1" s="1"/>
  <c r="L59" i="1"/>
  <c r="K59" i="1"/>
  <c r="X58" i="1"/>
  <c r="W58" i="1"/>
  <c r="U58" i="1"/>
  <c r="S58" i="1"/>
  <c r="P58" i="1"/>
  <c r="O58" i="1"/>
  <c r="V58" i="1" s="1"/>
  <c r="N58" i="1"/>
  <c r="T58" i="1" s="1"/>
  <c r="M58" i="1"/>
  <c r="R58" i="1" s="1"/>
  <c r="L58" i="1"/>
  <c r="K58" i="1"/>
  <c r="X57" i="1"/>
  <c r="W57" i="1"/>
  <c r="V57" i="1"/>
  <c r="U57" i="1"/>
  <c r="S57" i="1"/>
  <c r="Q57" i="1"/>
  <c r="P57" i="1"/>
  <c r="O57" i="1"/>
  <c r="N57" i="1"/>
  <c r="T57" i="1" s="1"/>
  <c r="M57" i="1"/>
  <c r="R57" i="1" s="1"/>
  <c r="L57" i="1"/>
  <c r="K57" i="1"/>
  <c r="X56" i="1"/>
  <c r="W56" i="1"/>
  <c r="T56" i="1"/>
  <c r="S56" i="1"/>
  <c r="Q56" i="1"/>
  <c r="P56" i="1"/>
  <c r="O56" i="1"/>
  <c r="V56" i="1" s="1"/>
  <c r="N56" i="1"/>
  <c r="M56" i="1"/>
  <c r="R56" i="1" s="1"/>
  <c r="L56" i="1"/>
  <c r="K56" i="1"/>
  <c r="X55" i="1"/>
  <c r="W55" i="1"/>
  <c r="S55" i="1"/>
  <c r="P55" i="1"/>
  <c r="O55" i="1"/>
  <c r="V55" i="1" s="1"/>
  <c r="N55" i="1"/>
  <c r="T55" i="1" s="1"/>
  <c r="M55" i="1"/>
  <c r="R55" i="1" s="1"/>
  <c r="L55" i="1"/>
  <c r="K55" i="1"/>
  <c r="X54" i="1"/>
  <c r="W54" i="1"/>
  <c r="U54" i="1"/>
  <c r="S54" i="1"/>
  <c r="P54" i="1"/>
  <c r="O54" i="1"/>
  <c r="V54" i="1" s="1"/>
  <c r="N54" i="1"/>
  <c r="T54" i="1" s="1"/>
  <c r="M54" i="1"/>
  <c r="R54" i="1" s="1"/>
  <c r="L54" i="1"/>
  <c r="K54" i="1"/>
  <c r="X53" i="1"/>
  <c r="W53" i="1"/>
  <c r="V53" i="1"/>
  <c r="U53" i="1"/>
  <c r="S53" i="1"/>
  <c r="Q53" i="1"/>
  <c r="P53" i="1"/>
  <c r="O53" i="1"/>
  <c r="N53" i="1"/>
  <c r="T53" i="1" s="1"/>
  <c r="M53" i="1"/>
  <c r="R53" i="1" s="1"/>
  <c r="L53" i="1"/>
  <c r="K53" i="1"/>
  <c r="X52" i="1"/>
  <c r="W52" i="1"/>
  <c r="T52" i="1"/>
  <c r="S52" i="1"/>
  <c r="Q52" i="1"/>
  <c r="P52" i="1"/>
  <c r="O52" i="1"/>
  <c r="V52" i="1" s="1"/>
  <c r="N52" i="1"/>
  <c r="M52" i="1"/>
  <c r="R52" i="1" s="1"/>
  <c r="L52" i="1"/>
  <c r="K52" i="1"/>
  <c r="X51" i="1"/>
  <c r="W51" i="1"/>
  <c r="P51" i="1"/>
  <c r="O51" i="1"/>
  <c r="E139" i="1" s="1"/>
  <c r="N51" i="1"/>
  <c r="T51" i="1" s="1"/>
  <c r="M51" i="1"/>
  <c r="R51" i="1" s="1"/>
  <c r="L51" i="1"/>
  <c r="K51" i="1"/>
  <c r="X50" i="1"/>
  <c r="C91" i="1" s="1"/>
  <c r="W50" i="1"/>
  <c r="U50" i="1"/>
  <c r="T50" i="1"/>
  <c r="S50" i="1"/>
  <c r="P50" i="1"/>
  <c r="C87" i="1" s="1"/>
  <c r="O50" i="1"/>
  <c r="V50" i="1" s="1"/>
  <c r="N50" i="1"/>
  <c r="M50" i="1"/>
  <c r="R50" i="1" s="1"/>
  <c r="L50" i="1"/>
  <c r="K50" i="1"/>
  <c r="X49" i="1"/>
  <c r="W49" i="1"/>
  <c r="C144" i="1" s="1"/>
  <c r="V49" i="1"/>
  <c r="U49" i="1"/>
  <c r="S49" i="1"/>
  <c r="Q49" i="1"/>
  <c r="P49" i="1"/>
  <c r="O49" i="1"/>
  <c r="E138" i="1" s="1"/>
  <c r="N49" i="1"/>
  <c r="D138" i="1" s="1"/>
  <c r="M49" i="1"/>
  <c r="R49" i="1" s="1"/>
  <c r="L49" i="1"/>
  <c r="K49" i="1"/>
  <c r="C88" i="1" s="1"/>
  <c r="C89" i="1" s="1"/>
  <c r="C44" i="1"/>
  <c r="C35" i="1"/>
  <c r="C34" i="1"/>
  <c r="C33" i="1"/>
  <c r="C32" i="1"/>
  <c r="C31" i="1"/>
  <c r="C30" i="1"/>
  <c r="C25" i="1"/>
  <c r="C24" i="1"/>
  <c r="C23" i="1"/>
  <c r="E35" i="1" s="1"/>
  <c r="C22" i="1"/>
  <c r="C26" i="1" s="1"/>
  <c r="G4" i="1"/>
  <c r="E64" i="2" l="1"/>
  <c r="C100" i="1" s="1"/>
  <c r="C141" i="1"/>
  <c r="C94" i="1"/>
  <c r="C95" i="1"/>
  <c r="K4" i="1"/>
  <c r="C148" i="1"/>
  <c r="E36" i="1"/>
  <c r="U51" i="1"/>
  <c r="U55" i="1"/>
  <c r="U59" i="1"/>
  <c r="U63" i="1"/>
  <c r="U67" i="1"/>
  <c r="U71" i="1"/>
  <c r="U75" i="1"/>
  <c r="U79" i="1"/>
  <c r="C139" i="1"/>
  <c r="E32" i="1"/>
  <c r="V51" i="1"/>
  <c r="E141" i="1" s="1"/>
  <c r="E145" i="1" s="1"/>
  <c r="D139" i="1"/>
  <c r="E33" i="1"/>
  <c r="T49" i="1"/>
  <c r="D141" i="1" s="1"/>
  <c r="D145" i="1" s="1"/>
  <c r="C90" i="1"/>
  <c r="C98" i="1"/>
  <c r="Q51" i="1"/>
  <c r="Q55" i="1"/>
  <c r="Q59" i="1"/>
  <c r="Q63" i="1"/>
  <c r="Q67" i="1"/>
  <c r="Q71" i="1"/>
  <c r="Q75" i="1"/>
  <c r="Q79" i="1"/>
  <c r="E30" i="1"/>
  <c r="E34" i="1"/>
  <c r="C138" i="1"/>
  <c r="Q50" i="1"/>
  <c r="C140" i="1" s="1"/>
  <c r="S51" i="1"/>
  <c r="D140" i="1" s="1"/>
  <c r="F151" i="1" s="1"/>
  <c r="U52" i="1"/>
  <c r="E140" i="1" s="1"/>
  <c r="Q54" i="1"/>
  <c r="U56" i="1"/>
  <c r="Q58" i="1"/>
  <c r="U60" i="1"/>
  <c r="Q62" i="1"/>
  <c r="U64" i="1"/>
  <c r="Q66" i="1"/>
  <c r="U68" i="1"/>
  <c r="Q70" i="1"/>
  <c r="U72" i="1"/>
  <c r="Q74" i="1"/>
  <c r="U76" i="1"/>
  <c r="Q78" i="1"/>
  <c r="C85" i="1"/>
  <c r="C4" i="1" s="1"/>
  <c r="E31" i="1"/>
  <c r="C86" i="1"/>
  <c r="C92" i="1" s="1"/>
  <c r="C151" i="1" l="1"/>
  <c r="C93" i="1"/>
  <c r="C145" i="1"/>
  <c r="C143" i="1"/>
  <c r="C99" i="1"/>
  <c r="C96" i="1"/>
  <c r="C97" i="1" s="1"/>
  <c r="C115" i="1" s="1"/>
  <c r="C157" i="1"/>
  <c r="C156" i="1"/>
  <c r="C155" i="1"/>
  <c r="C154" i="1"/>
  <c r="C134" i="1"/>
  <c r="M4" i="1" s="1"/>
  <c r="E4" i="1"/>
  <c r="C130" i="1"/>
  <c r="C131" i="1" s="1"/>
  <c r="C114" i="1"/>
  <c r="C125" i="1" l="1"/>
  <c r="C127" i="1" s="1"/>
  <c r="C129" i="1" s="1"/>
  <c r="C117" i="1"/>
  <c r="C119" i="1" s="1"/>
  <c r="C123" i="1" s="1"/>
  <c r="C124" i="1"/>
  <c r="C126" i="1" s="1"/>
  <c r="C128" i="1" s="1"/>
  <c r="C116" i="1"/>
  <c r="C118" i="1" s="1"/>
  <c r="H54" i="2"/>
  <c r="H50" i="2"/>
  <c r="H46" i="2"/>
  <c r="H42" i="2"/>
  <c r="H38" i="2"/>
  <c r="H34" i="2"/>
  <c r="H30" i="2"/>
  <c r="H26" i="2"/>
  <c r="H22" i="2"/>
  <c r="H18" i="2"/>
  <c r="H14" i="2"/>
  <c r="H10" i="2"/>
  <c r="H6" i="2"/>
  <c r="H55" i="2"/>
  <c r="H51" i="2"/>
  <c r="H47" i="2"/>
  <c r="H43" i="2"/>
  <c r="H39" i="2"/>
  <c r="H35" i="2"/>
  <c r="H31" i="2"/>
  <c r="H27" i="2"/>
  <c r="H23" i="2"/>
  <c r="H19" i="2"/>
  <c r="H15" i="2"/>
  <c r="H11" i="2"/>
  <c r="H7" i="2"/>
  <c r="H56" i="2"/>
  <c r="H52" i="2"/>
  <c r="H48" i="2"/>
  <c r="H44" i="2"/>
  <c r="H40" i="2"/>
  <c r="H36" i="2"/>
  <c r="H32" i="2"/>
  <c r="H28" i="2"/>
  <c r="H24" i="2"/>
  <c r="H20" i="2"/>
  <c r="H16" i="2"/>
  <c r="H12" i="2"/>
  <c r="H8" i="2"/>
  <c r="H41" i="2"/>
  <c r="H9" i="2"/>
  <c r="H17" i="2"/>
  <c r="H45" i="2"/>
  <c r="H49" i="2"/>
  <c r="H13" i="2"/>
  <c r="H29" i="2"/>
  <c r="H21" i="2"/>
  <c r="H33" i="2"/>
  <c r="H53" i="2"/>
  <c r="H25" i="2"/>
  <c r="H37" i="2"/>
  <c r="I4" i="1" l="1"/>
  <c r="C122" i="1"/>
  <c r="H64" i="2"/>
  <c r="C101" i="1" s="1"/>
</calcChain>
</file>

<file path=xl/sharedStrings.xml><?xml version="1.0" encoding="utf-8"?>
<sst xmlns="http://schemas.openxmlformats.org/spreadsheetml/2006/main" count="261" uniqueCount="260">
  <si>
    <t>LIVE SUMMARY  (auto-updates as you fill the daily table)</t>
  </si>
  <si>
    <t>Observed days k</t>
  </si>
  <si>
    <t>MTD mean °C</t>
  </si>
  <si>
    <t>P(YES) ensemble</t>
  </si>
  <si>
    <t>Market YES ask</t>
  </si>
  <si>
    <t>Edge (best side)</t>
  </si>
  <si>
    <t>dev3</t>
  </si>
  <si>
    <t>ACTION</t>
  </si>
  <si>
    <t>HOW TO USE:  fill ONLY the yellow cells (daily table cols B–J, ENS members col B, market prices).  Everything else is a live formula.  Full legend: Block 8 at the bottom.</t>
  </si>
  <si>
    <t>BLOCK 1 — SETTLEMENT &amp; TRANSLATION CONSTANTS   (settlement constants are the only hard-coded numbers; everything else computes)</t>
  </si>
  <si>
    <t>Settlement oracle</t>
  </si>
  <si>
    <t>NOAA NCEI ‘Climate at a Glance’ — GLOBAL land+ocean monthly anomaly</t>
  </si>
  <si>
    <t>NOAA baseline</t>
  </si>
  <si>
    <t>1901–2000  (settlement baseline)</t>
  </si>
  <si>
    <t>ERA5 baseline</t>
  </si>
  <si>
    <t>1991–2020  (offset is DETERMINISTIC — absorbed by the OLS below, not signal)</t>
  </si>
  <si>
    <t>Quantity</t>
  </si>
  <si>
    <t>Global, cos-latitude-weighted 2 m temperature MONTHLY MEAN (never per-station)</t>
  </si>
  <si>
    <t>Days in month (D)</t>
  </si>
  <si>
    <t>Settlement thresholds</t>
  </si>
  <si>
    <t>August record (printed)</t>
  </si>
  <si>
    <t>Aug 2023 (NOAA, live vintage). 2024=1.24, 2025=1.07.</t>
  </si>
  <si>
    <t>Latent threshold  (YES iff latent ≥)</t>
  </si>
  <si>
    <t>Printed must be ≥1.26. Rounding: printed 1.26 ⇔ latent ≥1.255.</t>
  </si>
  <si>
    <t>Tie-band low  (latent)</t>
  </si>
  <si>
    <t>Latent 1.245–1.255 prints 1.25 → settles NO (tailwind for NO).</t>
  </si>
  <si>
    <t>Tie clause</t>
  </si>
  <si>
    <t>NONE — a printed tie (1.25) settles NO</t>
  </si>
  <si>
    <t>ERA5 → NOAA August translation   (computed live from Block 7 audit trail)</t>
  </si>
  <si>
    <t>a  (intercept)</t>
  </si>
  <si>
    <t>formula: INTERCEPT(NOAA_Aug, ERA5_Aug) over Block 7</t>
  </si>
  <si>
    <t>b  (slope)</t>
  </si>
  <si>
    <t>formula: SLOPE(...) — absorbs the deterministic baseline offset</t>
  </si>
  <si>
    <t>σ_translation  (residual)</t>
  </si>
  <si>
    <t>formula: STEYX(...) — irreducible translation scatter, never shrinks</t>
  </si>
  <si>
    <t>n  (years in fit)</t>
  </si>
  <si>
    <t>K_threshold on ERA5 scale  = (latent−a)/b</t>
  </si>
  <si>
    <t>ERA5-scale value the month must reach</t>
  </si>
  <si>
    <t>Variance collapse — σ_NOAA by observed-day count k   (empirical; collapses slower than 1/√(days left) because regimes persist)</t>
  </si>
  <si>
    <t>k (observed days)</t>
  </si>
  <si>
    <t>sd_f  (ERA5 scale)</t>
  </si>
  <si>
    <t>ref (offline)</t>
  </si>
  <si>
    <t>σ_NOAA</t>
  </si>
  <si>
    <t>sd_f = LINEST std-error of  ERA5_Aug ~ ERA5_Jul + Aug_first-k   ·   σ_NOAA = √((b·sd_f)²+σ_trans²)</t>
  </si>
  <si>
    <t>‘ref (offline)’ = the same regression computed from the same Block-7 rows outside Excel. sd_f uses LINEST and falls back to ref only if LINEST is unavailable — the two must agree.</t>
  </si>
  <si>
    <t>k=31: month fully observed → forecast error is 0 by definition</t>
  </si>
  <si>
    <t>External indices &amp; model settings</t>
  </si>
  <si>
    <t>ONI (CPC, latest season)</t>
  </si>
  <si>
    <t>AMJ 2026 = +1.0 (El Niño ramping). Update monthly; records cluster in El Niño.</t>
  </si>
  <si>
    <t>GISTEMP August record (printed)</t>
  </si>
  <si>
    <t>NASA GISTEMP, Aug 2024 — Polymarket oracle (different dataset, ~+0.09 vs NOAA).</t>
  </si>
  <si>
    <t>GISTEMP latent threshold</t>
  </si>
  <si>
    <t>Polymarket brackets: ties count INTO the bracket → latent ≥ record−0.005.</t>
  </si>
  <si>
    <t>GISTEMP a / b / σ</t>
  </si>
  <si>
    <t>OLS GISTEMP_Aug ~ ERA5_Aug, n=36 (1990–2025).</t>
  </si>
  <si>
    <t>ρ  forecast-error correlation mix</t>
  </si>
  <si>
    <t>Pipeline convention (update_data.py). Days are NOT independent — ρ&gt;0 keeps σ honest.</t>
  </si>
  <si>
    <t>Climatology reference (5-yr mean ERA5 Aug)</t>
  </si>
  <si>
    <t>Benchmark for forecast skill in Block 5.</t>
  </si>
  <si>
    <t>BLOCK 2 — DAILY TABLE (Aug 1–31) — the spine.  BLANK until real data arrives; nothing is simulated.</t>
  </si>
  <si>
    <t>Date</t>
  </si>
  <si>
    <t>ERA5 obs
anomaly °C</t>
  </si>
  <si>
    <t>status</t>
  </si>
  <si>
    <t>ECMWF ENS
mean °C</t>
  </si>
  <si>
    <t>ENS spread
σ °C</t>
  </si>
  <si>
    <t>ENS min</t>
  </si>
  <si>
    <t>ENS max</t>
  </si>
  <si>
    <t>GFS °C</t>
  </si>
  <si>
    <t>GEFS mean
°C</t>
  </si>
  <si>
    <t>GEFS σ</t>
  </si>
  <si>
    <t>USED
(obs→fcst)</t>
  </si>
  <si>
    <t>Running MTD
(banked)</t>
  </si>
  <si>
    <t>Err ENS
(obs−fcst)</t>
  </si>
  <si>
    <t>Err GFS</t>
  </si>
  <si>
    <t>Err GEFS</t>
  </si>
  <si>
    <t>fcst for
remaining</t>
  </si>
  <si>
    <t>|e|ENS</t>
  </si>
  <si>
    <t>e²ENS</t>
  </si>
  <si>
    <t>|e|GFS</t>
  </si>
  <si>
    <t>e²GFS</t>
  </si>
  <si>
    <t>|e|GEFS</t>
  </si>
  <si>
    <t>e²GEFS</t>
  </si>
  <si>
    <t>(obs−clim)²</t>
  </si>
  <si>
    <t>ENS σ
remaining</t>
  </si>
  <si>
    <t>↑ Yellow = you fill.  Cols K–O computed.  Cols P–X = engine/verification helpers (shaded).</t>
  </si>
  <si>
    <t>BLOCK 3 — MONTH BUILD &amp; PROBABILITY (the engine)</t>
  </si>
  <si>
    <t>k  — observed days</t>
  </si>
  <si>
    <t>COUNT ignores blanks → k grows as ERA5 prints.</t>
  </si>
  <si>
    <t>Banked sum  Σ observed</t>
  </si>
  <si>
    <t>Locked contribution — no uncertainty.</t>
  </si>
  <si>
    <t>Banked mean  B_k</t>
  </si>
  <si>
    <t>Month-to-date average anomaly.</t>
  </si>
  <si>
    <t>Remaining days  (31−k)</t>
  </si>
  <si>
    <t>Remaining-days forecast mean  R</t>
  </si>
  <si>
    <t>Mean ENS forecast over days not yet observed.</t>
  </si>
  <si>
    <t>Days covered (obs + forecast)</t>
  </si>
  <si>
    <t>Must reach 31 before the projection is defined.</t>
  </si>
  <si>
    <t>FULL-MONTH ERA5 projection</t>
  </si>
  <si>
    <t>(banked_sum + forecast_sum)/31, from the USED column.</t>
  </si>
  <si>
    <t>sd_f from variance collapse at k</t>
  </si>
  <si>
    <t>Nearest k ≤ current, from the empirical table in Block 1.</t>
  </si>
  <si>
    <t>Mean ENS spread over remaining days</t>
  </si>
  <si>
    <t>ENS term = ρ · mean_spread · (31−k)/31</t>
  </si>
  <si>
    <t>ρ&lt;1 acknowledges correlated daily errors (no independence assumption).</t>
  </si>
  <si>
    <t>σ_forecast  = √(sd_f² + ENS_term²)</t>
  </si>
  <si>
    <t>Historical collapse σ folded with live ensemble spread.</t>
  </si>
  <si>
    <t>μ_NOAA = a + b · ERA5_projection</t>
  </si>
  <si>
    <t>Translation onto the settlement scale.</t>
  </si>
  <si>
    <t>σ_total = √((b·σ_forecast)² + σ_translation²)</t>
  </si>
  <si>
    <t>Weather uncertainty + irreducible translation scatter.</t>
  </si>
  <si>
    <t>z = (latent_threshold − μ)/σ_total</t>
  </si>
  <si>
    <t>Standardised distance to the record.</t>
  </si>
  <si>
    <t>P(YES) — single-path Normal  [sanity check]</t>
  </si>
  <si>
    <t>A point estimate near a threshold LIES — this is a cross-check, not the headline.</t>
  </si>
  <si>
    <t>Required remaining-day average (diagnostic)</t>
  </si>
  <si>
    <t>How hot the rest of August must run, on the ERA5 scale. Diagnostic only.</t>
  </si>
  <si>
    <t>Tie-band probability  (latent 1.245–1.255 → prints 1.25 → NO)</t>
  </si>
  <si>
    <t>Tracked separately — a structural tailwind for NO.</t>
  </si>
  <si>
    <t>P(YES) — 51-MEMBER ENSEMBLE  ◀ HEADLINE</t>
  </si>
  <si>
    <t>Member-average of per-member tail P. THIS is the number to trade on.</t>
  </si>
  <si>
    <t>P(YES) — GISTEMP (Polymarket cross-check)</t>
  </si>
  <si>
    <t>Different dataset &amp; threshold → basis, never arbitrage.</t>
  </si>
  <si>
    <t>BLOCK 4 — MARKET &amp; PROFITABILITY  (executable prices only — never mid)</t>
  </si>
  <si>
    <t>Kalshi YES bid (¢)</t>
  </si>
  <si>
    <t>Fill from the live book.</t>
  </si>
  <si>
    <t>Kalshi YES ask (¢)</t>
  </si>
  <si>
    <t>What you'd actually PAY for YES.</t>
  </si>
  <si>
    <t>Kalshi NO bid (¢)</t>
  </si>
  <si>
    <t>Kalshi NO ask (¢)</t>
  </si>
  <si>
    <t>What you'd actually PAY for NO.</t>
  </si>
  <si>
    <t>Depth per side (contracts)</t>
  </si>
  <si>
    <t>Drives the capacity cap. ~$1–3k book historically.</t>
  </si>
  <si>
    <t>Bankroll ($)</t>
  </si>
  <si>
    <t>For Kelly sizing.</t>
  </si>
  <si>
    <t>Contracts n (for fee calc)</t>
  </si>
  <si>
    <t>Current position (+NO / −YES, contracts)</t>
  </si>
  <si>
    <t>Market-implied P(YES)  (from YES ask)</t>
  </si>
  <si>
    <t>Executable, not mid.</t>
  </si>
  <si>
    <t>P_low  — conservative for BUYING YES</t>
  </si>
  <si>
    <t>Pessimistic bound: never size YES off the optimistic tail.</t>
  </si>
  <si>
    <t>P_high — conservative for BUYING NO</t>
  </si>
  <si>
    <t>Pessimistic bound for the NO side.</t>
  </si>
  <si>
    <t>Fair YES (conservative) ¢</t>
  </si>
  <si>
    <t>Fair NO (conservative) ¢</t>
  </si>
  <si>
    <t>EDGE YES = fair_YES − YES_ask  (¢)</t>
  </si>
  <si>
    <t>≥3¢ to act.</t>
  </si>
  <si>
    <t>EDGE NO  = fair_NO − NO_ask  (¢)</t>
  </si>
  <si>
    <t>Fee YES (¢ total, n contracts)</t>
  </si>
  <si>
    <t>Kalshi taker fee peaks at p≈0.5 — a coin-flip is the costliest trade.</t>
  </si>
  <si>
    <t>Fee NO (¢ total, n contracts)</t>
  </si>
  <si>
    <t>EV per contract, BUY YES (¢ after fee)</t>
  </si>
  <si>
    <t>EV per contract, BUY NO (¢ after fee)</t>
  </si>
  <si>
    <t>Kelly f (full) — YES</t>
  </si>
  <si>
    <t>f = (p·b−(1−p))/b, b = (1−price)/price.</t>
  </si>
  <si>
    <t>Kelly f (full) — NO</t>
  </si>
  <si>
    <t>STAKE YES $  = min(¼K·bankroll, depth/3·price, $300 cap)</t>
  </si>
  <si>
    <t>STAKE NO $   = min(¼K·bankroll, depth/3·price, $300 cap)</t>
  </si>
  <si>
    <t>Divergence |market_YES − P(YES)_ens|</t>
  </si>
  <si>
    <t>Divergence flag (&gt;15 pts)</t>
  </si>
  <si>
    <t>Exposure $ (position × price paid)</t>
  </si>
  <si>
    <t>$300 hard-cap check</t>
  </si>
  <si>
    <t>ACTION  (decision table)</t>
  </si>
  <si>
    <t>BLOCK 5 — VERIFICATION &amp; MODEL WEIGHTS  (only metrics that survive small n)</t>
  </si>
  <si>
    <t>Metric</t>
  </si>
  <si>
    <t>ECMWF ENS</t>
  </si>
  <si>
    <t>GFS</t>
  </si>
  <si>
    <t>GEFS</t>
  </si>
  <si>
    <t>n verified days</t>
  </si>
  <si>
    <t>Grows as ERA5 prints.</t>
  </si>
  <si>
    <t>Bias (mean error, obs−fcst)</t>
  </si>
  <si>
    <t>+ = model too COLD (actuals warmer).</t>
  </si>
  <si>
    <t>MAE</t>
  </si>
  <si>
    <t>RMSE</t>
  </si>
  <si>
    <t>Mean ENS spread σ</t>
  </si>
  <si>
    <t>Spread-to-skill ratio (ENS)</t>
  </si>
  <si>
    <t>≈1 well-calibrated · &lt;1 UNDER-dispersive (tail mass hidden — the July trap).</t>
  </si>
  <si>
    <t>RMSE climatology (benchmark)</t>
  </si>
  <si>
    <t>Predicting the 5-yr mean August anomaly every day.</t>
  </si>
  <si>
    <t>Skill vs climatology  (1 − RMSE/RMSE_clim)</t>
  </si>
  <si>
    <t>dev3 — mean error, last 3 verified days</t>
  </si>
  <si>
    <t>The surge/dip tripwire (leakage-free: uses only verified days).</t>
  </si>
  <si>
    <t>dev3 flag</t>
  </si>
  <si>
    <t>Model weights (inverse recent MAE, normalised)</t>
  </si>
  <si>
    <t>w ECMWF</t>
  </si>
  <si>
    <t>w GFS</t>
  </si>
  <si>
    <t>Withheld until n is large enough — at n≈15 these mislead:</t>
  </si>
  <si>
    <t xml:space="preserve">   R²</t>
  </si>
  <si>
    <t xml:space="preserve">   Correlation</t>
  </si>
  <si>
    <t xml:space="preserve">   Directional accuracy %</t>
  </si>
  <si>
    <t xml:space="preserve">   Interval coverage 50/80/90%</t>
  </si>
  <si>
    <t>BLOCK 7 — CALIBRATION AUDIT TRAIL: August history 1990–2025 (every constant in Block 1 is regressed from THIS table)</t>
  </si>
  <si>
    <t>Year</t>
  </si>
  <si>
    <t>ERA5 Aug mean</t>
  </si>
  <si>
    <t>NOAA Aug</t>
  </si>
  <si>
    <t>ERA5 Jul mean</t>
  </si>
  <si>
    <t>Jul(k2)</t>
  </si>
  <si>
    <t>Aug first-2</t>
  </si>
  <si>
    <t>Jul(k5)</t>
  </si>
  <si>
    <t>Aug first-5</t>
  </si>
  <si>
    <t>Jul(k10)</t>
  </si>
  <si>
    <t>Aug first-10</t>
  </si>
  <si>
    <t>Jul(k15)</t>
  </si>
  <si>
    <t>Aug first-15</t>
  </si>
  <si>
    <t>Jul(k20)</t>
  </si>
  <si>
    <t>Aug first-20</t>
  </si>
  <si>
    <t>Jul(k25)</t>
  </si>
  <si>
    <t>Aug first-25</t>
  </si>
  <si>
    <t>Jul(k31)</t>
  </si>
  <si>
    <t>Aug first-31</t>
  </si>
  <si>
    <t>BLOCK 8 — HOW TO USE / LEGEND</t>
  </si>
  <si>
    <t>Colour code</t>
  </si>
  <si>
    <t>YELLOW = you type here (the only editable cells).  BLACK = computed formula.  BLUE = a constant taken from a cited source.  Never overwrite a formula.</t>
  </si>
  <si>
    <t>Block 2 — daily table</t>
  </si>
  <si>
    <t>One row per August day.  Col B = ERA5 observed global-mean anomaly in °C (3 decimals, e.g. 0.612).  Col C = FINAL or PRELIMINARY.  Cols D–G = ECMWF ENS mean / spread / min / max for that date.  Cols H–J = GFS and GEFS (cross-check only).</t>
  </si>
  <si>
    <t>LEAKAGE RULE (critical)</t>
  </si>
  <si>
    <t>Enter each forecast (cols D–J) from the last model run issued BEFORE that date, and DO NOT change it once the day is observed.  That is what makes the errors in cols M–O, and dev3, honest.</t>
  </si>
  <si>
    <t>Cols K–O</t>
  </si>
  <si>
    <t>Computed: USED (observed if present, else forecast), running month-to-date mean, and one error column per model.</t>
  </si>
  <si>
    <t>Cols P–X</t>
  </si>
  <si>
    <t>Shaded helper columns feeding Blocks 3 and 5.  Ignore them day to day.</t>
  </si>
  <si>
    <t>ENS_members_raw tab</t>
  </si>
  <si>
    <t>Paste the 51 member full-August ERA5 means into column B.  Their member-averaged tail probability is THE headline P(YES) used by Block 4.</t>
  </si>
  <si>
    <t>Fcst_log tab</t>
  </si>
  <si>
    <t>One row per forecast pull: timestamp, model, run cycle, and the remaining-days mean anomaly.  A RISING value is an early buy-YES signal (the fundamental leads price by ~2–3 days).  A price spike with NO new high here is a FADE signal.</t>
  </si>
  <si>
    <t>Block 4 — what to trade</t>
  </si>
  <si>
    <t>Enter the executable book (YES/NO bid and ask in cents), depth, bankroll, contracts and your position.  Edges use the CONSERVATIVE probability bound; stake is quarter-Kelly capped by depth/3 and a hard $300.</t>
  </si>
  <si>
    <t>Blank means blank</t>
  </si>
  <si>
    <t>No August temperature is pre-filled, simulated or interpolated anywhere in this workbook.  Every output stays empty until you enter real data.</t>
  </si>
  <si>
    <t>Settlement</t>
  </si>
  <si>
    <t>YES only if NOAA prints &gt;= 1.26 for August 2026 (latent &gt;= 1.255).  A printed 1.25 ties the 2023 record and settles NO — there is no tie clause.</t>
  </si>
  <si>
    <t>51-MEMBER ECMWF IFS ENS — the honest core of P(YES)</t>
  </si>
  <si>
    <t>Paste each member's FULL-AUGUST ERA5-mean estimate into column B (from ens_spread.py → member_july_mean_era5 equivalent for August). Everything else computes.</t>
  </si>
  <si>
    <t>WHY members, not one path: a point estimate near a threshold LIES. The member spread carries the real tail mass (July 2026: a deterministic 0.0% hid a true ~25%).</t>
  </si>
  <si>
    <t>Member #</t>
  </si>
  <si>
    <t>Full-Aug ERA5 mean °C
(INPUT)</t>
  </si>
  <si>
    <t>μ_NOAA</t>
  </si>
  <si>
    <t>σ_member</t>
  </si>
  <si>
    <t>P(YES) member</t>
  </si>
  <si>
    <t>Central breach?</t>
  </si>
  <si>
    <t>μ_GISTEMP</t>
  </si>
  <si>
    <t>P(YES) GIS member</t>
  </si>
  <si>
    <t>Members loaded</t>
  </si>
  <si>
    <t>Median member ERA5</t>
  </si>
  <si>
    <t>Min / Max member</t>
  </si>
  <si>
    <t>Member spread σ (measured)</t>
  </si>
  <si>
    <t>Members whose CENTRAL path breaks the record</t>
  </si>
  <si>
    <t>P(YES) ENSEMBLE — NOAA  ▶ headline</t>
  </si>
  <si>
    <t>P(YES) GISTEMP ▶</t>
  </si>
  <si>
    <t>Member-average of per-member tail probabilities — NOT the tail of the average (Jensen: the threshold tail is convex, so averaging probabilities &gt; probability at the average).</t>
  </si>
  <si>
    <t>FORECAST-RUN LOG — when a surge ENTERS the model (the lead-time edge)</t>
  </si>
  <si>
    <t>The fundamental leads the market price by ~2–3 days (July 2026: surge entered the 15 Jul 11:40Z run; price spiked 18 Jul).</t>
  </si>
  <si>
    <t>USE: a RISING remaining-days mean here = early BUY-YES signal before the tape moves.  A price spike with NO new high here = FADE signal (liquidity vacuum, not information).</t>
  </si>
  <si>
    <t>Pulled (UTC)</t>
  </si>
  <si>
    <t>Model</t>
  </si>
  <si>
    <t>Run cycle</t>
  </si>
  <si>
    <t>Remaining-days mean anomaly °C</t>
  </si>
  <si>
    <t>Δ vs prior same model</t>
  </si>
  <si>
    <t>Signal</t>
  </si>
  <si>
    <t>Note</t>
  </si>
  <si>
    <t>KXHMONTH-26AUG  —  “Will August 2026 be the hottest August 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</si>
</sst>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
    <numFmt numFmtId="166" formatCode="0.0000"/>
    <numFmt numFmtId="168" formatCode="dd\-mmm"/>
    <numFmt numFmtId="169" formatCode="0.00000"/>
    <numFmt numFmtId="170" formatCode="0.0"/>
    <numFmt numFmtId="171" formatCode="\$#,##0.00"/>
    <numFmt numFmtId="172" formatCode="0.0&quot;¢&quot;"/>
    <numFmt numFmtId="173" formatCode="#,##0.0"/>
    <numFmt numFmtId="174" formatCode="0.0%"/>
    <numFmt numFmtId="175" formatCode="\+0.000;\-0.000"/>
  </numFmts>
  <fonts count="22" x14ac:knownFonts="1">
    <font>
      <sz val="11"/>
      <color theme="1"/>
      <name val="Calibri"/>
      <family val="2"/>
      <scheme val="minor"/>
    </font>
    <font>
      <b/>
      <sz val="14"/>
      <color rgb="FF1F3864"/>
      <name val="Arial"/>
      <family val="2"/>
    </font>
    <font>
      <b/>
      <sz val="9"/>
      <color rgb="FF595959"/>
      <name val="Arial"/>
      <family val="2"/>
    </font>
    <font>
      <b/>
      <sz val="11"/>
      <color rgb="FFFFFFFF"/>
      <name val="Arial"/>
      <family val="2"/>
    </font>
    <font>
      <b/>
      <sz val="10"/>
      <color rgb="FF000000"/>
      <name val="Arial"/>
      <family val="2"/>
    </font>
    <font>
      <sz val="10"/>
      <color rgb="FF000000"/>
      <name val="Arial"/>
      <family val="2"/>
    </font>
    <font>
      <sz val="10"/>
      <color rgb="FF0000FF"/>
      <name val="Arial"/>
      <family val="2"/>
    </font>
    <font>
      <b/>
      <sz val="10"/>
      <color rgb="FF1F3864"/>
      <name val="Arial"/>
      <family val="2"/>
    </font>
    <font>
      <b/>
      <sz val="10"/>
      <color rgb="FF0000FF"/>
      <name val="Arial"/>
      <family val="2"/>
    </font>
    <font>
      <i/>
      <sz val="10"/>
      <color rgb="FF595959"/>
      <name val="Arial"/>
      <family val="2"/>
    </font>
    <font>
      <b/>
      <sz val="10"/>
      <color rgb="FFFF0000"/>
      <name val="Arial"/>
      <family val="2"/>
    </font>
    <font>
      <i/>
      <sz val="10"/>
      <color rgb="FFFF0000"/>
      <name val="Arial"/>
      <family val="2"/>
    </font>
    <font>
      <b/>
      <sz val="9"/>
      <color rgb="FFFFFFFF"/>
      <name val="Arial"/>
      <family val="2"/>
    </font>
    <font>
      <sz val="9"/>
      <color rgb="FF000000"/>
      <name val="Arial"/>
      <family val="2"/>
    </font>
    <font>
      <i/>
      <sz val="9"/>
      <color rgb="FF0000FF"/>
      <name val="Arial"/>
      <family val="2"/>
    </font>
    <font>
      <sz val="10"/>
      <color rgb="FF595959"/>
      <name val="Arial"/>
      <family val="2"/>
    </font>
    <font>
      <b/>
      <sz val="11"/>
      <color rgb="FF1F3864"/>
      <name val="Arial"/>
      <family val="2"/>
    </font>
    <font>
      <b/>
      <sz val="13"/>
      <color rgb="FF1F3864"/>
      <name val="Arial"/>
      <family val="2"/>
    </font>
    <font>
      <i/>
      <sz val="9"/>
      <color rgb="FF595959"/>
      <name val="Arial"/>
      <family val="2"/>
    </font>
    <font>
      <i/>
      <sz val="9"/>
      <color rgb="FFFF0000"/>
      <name val="Arial"/>
      <family val="2"/>
    </font>
    <font>
      <b/>
      <sz val="12"/>
      <color rgb="FF1F3864"/>
      <name val="Arial"/>
      <family val="2"/>
    </font>
    <font>
      <b/>
      <sz val="9"/>
      <color rgb="FFC00000"/>
      <name val="Arial"/>
      <family val="2"/>
    </font>
  </fonts>
  <fills count="7">
    <fill>
      <patternFill patternType="none"/>
    </fill>
    <fill>
      <patternFill patternType="gray125"/>
    </fill>
    <fill>
      <patternFill patternType="solid">
        <fgColor rgb="FFFFF2CC"/>
      </patternFill>
    </fill>
    <fill>
      <patternFill patternType="solid">
        <fgColor rgb="FF1F3864"/>
      </patternFill>
    </fill>
    <fill>
      <patternFill patternType="solid">
        <fgColor rgb="FFD9E2F3"/>
      </patternFill>
    </fill>
    <fill>
      <patternFill patternType="solid">
        <fgColor rgb="FFFFFF0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6">
    <xf numFmtId="0" fontId="0" fillId="0" borderId="0" xfId="0"/>
    <xf numFmtId="0" fontId="2" fillId="2" borderId="0" xfId="0" applyFont="1" applyFill="1"/>
    <xf numFmtId="1" fontId="16" fillId="2" borderId="0" xfId="0" applyNumberFormat="1" applyFont="1" applyFill="1"/>
    <xf numFmtId="0" fontId="0" fillId="2" borderId="0" xfId="0" applyFill="1"/>
    <xf numFmtId="164" fontId="16" fillId="2" borderId="0" xfId="0" applyNumberFormat="1" applyFont="1" applyFill="1"/>
    <xf numFmtId="10" fontId="16" fillId="2" borderId="0" xfId="0" applyNumberFormat="1" applyFont="1" applyFill="1"/>
    <xf numFmtId="172" fontId="16" fillId="2" borderId="0" xfId="0" applyNumberFormat="1" applyFont="1" applyFill="1"/>
    <xf numFmtId="0" fontId="4" fillId="0" borderId="0" xfId="0" applyFont="1"/>
    <xf numFmtId="0" fontId="5" fillId="0" borderId="0" xfId="0" applyFont="1"/>
    <xf numFmtId="0" fontId="7" fillId="4" borderId="0" xfId="0" applyFont="1" applyFill="1"/>
    <xf numFmtId="0" fontId="0" fillId="4" borderId="0" xfId="0" applyFill="1"/>
    <xf numFmtId="2" fontId="8" fillId="0" borderId="0" xfId="0" applyNumberFormat="1" applyFont="1"/>
    <xf numFmtId="0" fontId="9" fillId="0" borderId="0" xfId="0" applyFont="1"/>
    <xf numFmtId="164" fontId="8" fillId="0" borderId="0" xfId="0" applyNumberFormat="1" applyFont="1"/>
    <xf numFmtId="164" fontId="6" fillId="0" borderId="0" xfId="0" applyNumberFormat="1" applyFont="1"/>
    <xf numFmtId="0" fontId="10" fillId="0" borderId="0" xfId="0" applyFont="1"/>
    <xf numFmtId="166" fontId="4" fillId="0" borderId="0" xfId="0" applyNumberFormat="1" applyFont="1"/>
    <xf numFmtId="1" fontId="0" fillId="0" borderId="0" xfId="0" applyNumberFormat="1"/>
    <xf numFmtId="0" fontId="2" fillId="0" borderId="0" xfId="0" applyFont="1"/>
    <xf numFmtId="1" fontId="6" fillId="0" borderId="1" xfId="0" applyNumberFormat="1" applyFont="1" applyBorder="1"/>
    <xf numFmtId="166" fontId="0" fillId="0" borderId="1" xfId="0" applyNumberFormat="1" applyBorder="1"/>
    <xf numFmtId="166" fontId="14" fillId="0" borderId="0" xfId="0" applyNumberFormat="1" applyFont="1"/>
    <xf numFmtId="166" fontId="4" fillId="0" borderId="1" xfId="0" applyNumberFormat="1" applyFont="1" applyBorder="1"/>
    <xf numFmtId="166" fontId="15" fillId="0" borderId="1" xfId="0" applyNumberFormat="1" applyFont="1" applyBorder="1"/>
    <xf numFmtId="165" fontId="6" fillId="5" borderId="0" xfId="0" applyNumberFormat="1" applyFont="1" applyFill="1"/>
    <xf numFmtId="2" fontId="6" fillId="5" borderId="0" xfId="0" applyNumberFormat="1" applyFont="1" applyFill="1"/>
    <xf numFmtId="166" fontId="6" fillId="0" borderId="0" xfId="0" applyNumberFormat="1" applyFont="1"/>
    <xf numFmtId="164" fontId="0" fillId="0" borderId="0" xfId="0" applyNumberFormat="1"/>
    <xf numFmtId="0" fontId="11" fillId="0" borderId="0" xfId="0" applyFont="1"/>
    <xf numFmtId="0" fontId="12" fillId="3" borderId="1" xfId="0" applyFont="1" applyFill="1" applyBorder="1" applyAlignment="1">
      <alignment horizontal="center" vertical="center" wrapText="1"/>
    </xf>
    <xf numFmtId="168" fontId="5" fillId="0" borderId="0" xfId="0" applyNumberFormat="1" applyFont="1"/>
    <xf numFmtId="164" fontId="6" fillId="5" borderId="1" xfId="0" applyNumberFormat="1" applyFont="1" applyFill="1" applyBorder="1"/>
    <xf numFmtId="49" fontId="6" fillId="5" borderId="1" xfId="0" applyNumberFormat="1" applyFont="1" applyFill="1" applyBorder="1"/>
    <xf numFmtId="164" fontId="5" fillId="0" borderId="1" xfId="0" applyNumberFormat="1" applyFont="1" applyBorder="1"/>
    <xf numFmtId="164" fontId="13" fillId="6" borderId="1" xfId="0" applyNumberFormat="1" applyFont="1" applyFill="1" applyBorder="1"/>
    <xf numFmtId="169" fontId="13" fillId="6" borderId="1" xfId="0" applyNumberFormat="1" applyFont="1" applyFill="1" applyBorder="1"/>
    <xf numFmtId="1" fontId="4" fillId="0" borderId="0" xfId="0" applyNumberFormat="1" applyFont="1"/>
    <xf numFmtId="164" fontId="5" fillId="0" borderId="0" xfId="0" applyNumberFormat="1" applyFont="1"/>
    <xf numFmtId="1" fontId="5" fillId="0" borderId="0" xfId="0" applyNumberFormat="1" applyFont="1"/>
    <xf numFmtId="164" fontId="4" fillId="0" borderId="0" xfId="0" applyNumberFormat="1" applyFont="1"/>
    <xf numFmtId="166" fontId="5" fillId="0" borderId="0" xfId="0" applyNumberFormat="1" applyFont="1"/>
    <xf numFmtId="10" fontId="5" fillId="0" borderId="0" xfId="0" applyNumberFormat="1" applyFont="1"/>
    <xf numFmtId="10" fontId="7" fillId="0" borderId="0" xfId="0" applyNumberFormat="1" applyFont="1"/>
    <xf numFmtId="170" fontId="6" fillId="5" borderId="0" xfId="0" applyNumberFormat="1" applyFont="1" applyFill="1"/>
    <xf numFmtId="3" fontId="6" fillId="5" borderId="0" xfId="0" applyNumberFormat="1" applyFont="1" applyFill="1"/>
    <xf numFmtId="171" fontId="6" fillId="5" borderId="0" xfId="0" applyNumberFormat="1" applyFont="1" applyFill="1"/>
    <xf numFmtId="172" fontId="5" fillId="0" borderId="0" xfId="0" applyNumberFormat="1" applyFont="1"/>
    <xf numFmtId="172" fontId="4" fillId="0" borderId="0" xfId="0" applyNumberFormat="1" applyFont="1"/>
    <xf numFmtId="173" fontId="5" fillId="0" borderId="0" xfId="0" applyNumberFormat="1" applyFont="1"/>
    <xf numFmtId="174" fontId="5" fillId="0" borderId="0" xfId="0" applyNumberFormat="1" applyFont="1"/>
    <xf numFmtId="171" fontId="4" fillId="0" borderId="0" xfId="0" applyNumberFormat="1" applyFont="1"/>
    <xf numFmtId="49" fontId="4" fillId="0" borderId="0" xfId="0" applyNumberFormat="1" applyFont="1"/>
    <xf numFmtId="171" fontId="5" fillId="0" borderId="0" xfId="0" applyNumberFormat="1" applyFont="1"/>
    <xf numFmtId="49" fontId="7" fillId="0" borderId="0" xfId="0" applyNumberFormat="1" applyFont="1"/>
    <xf numFmtId="0" fontId="12" fillId="3" borderId="0" xfId="0" applyFont="1" applyFill="1"/>
    <xf numFmtId="166" fontId="0" fillId="0" borderId="0" xfId="0" applyNumberFormat="1"/>
    <xf numFmtId="2" fontId="0" fillId="0" borderId="0" xfId="0" applyNumberFormat="1"/>
    <xf numFmtId="174" fontId="0" fillId="0" borderId="0" xfId="0" applyNumberFormat="1"/>
    <xf numFmtId="0" fontId="7" fillId="0" borderId="0" xfId="0" applyFont="1"/>
    <xf numFmtId="0" fontId="12" fillId="3" borderId="1" xfId="0" applyFont="1" applyFill="1" applyBorder="1" applyAlignment="1">
      <alignment horizontal="center" wrapText="1"/>
    </xf>
    <xf numFmtId="1" fontId="13" fillId="0" borderId="1" xfId="0" applyNumberFormat="1" applyFont="1" applyBorder="1"/>
    <xf numFmtId="166" fontId="13" fillId="0" borderId="1" xfId="0" applyNumberFormat="1" applyFont="1" applyBorder="1"/>
    <xf numFmtId="2" fontId="13" fillId="0" borderId="1" xfId="0" applyNumberFormat="1" applyFont="1" applyBorder="1"/>
    <xf numFmtId="0" fontId="18" fillId="0" borderId="0" xfId="0" applyFont="1"/>
    <xf numFmtId="0" fontId="19" fillId="0" borderId="0" xfId="0" applyFont="1"/>
    <xf numFmtId="0" fontId="13" fillId="0" borderId="1" xfId="0" applyFont="1" applyBorder="1"/>
    <xf numFmtId="166" fontId="6" fillId="5" borderId="1" xfId="0" applyNumberFormat="1" applyFont="1" applyFill="1" applyBorder="1"/>
    <xf numFmtId="164" fontId="0" fillId="0" borderId="1" xfId="0" applyNumberFormat="1" applyBorder="1"/>
    <xf numFmtId="10" fontId="0" fillId="0" borderId="1" xfId="0" applyNumberFormat="1" applyBorder="1"/>
    <xf numFmtId="1" fontId="0" fillId="0" borderId="1" xfId="0" applyNumberFormat="1" applyBorder="1"/>
    <xf numFmtId="0" fontId="16" fillId="0" borderId="0" xfId="0" applyFont="1"/>
    <xf numFmtId="10" fontId="20" fillId="0" borderId="0" xfId="0" applyNumberFormat="1" applyFont="1"/>
    <xf numFmtId="0" fontId="6" fillId="5" borderId="1" xfId="0" applyFont="1" applyFill="1" applyBorder="1"/>
    <xf numFmtId="175" fontId="0" fillId="0" borderId="1" xfId="0" applyNumberFormat="1" applyBorder="1"/>
    <xf numFmtId="0" fontId="4" fillId="0" borderId="1" xfId="0" applyFont="1" applyBorder="1"/>
    <xf numFmtId="0" fontId="9" fillId="0" borderId="0" xfId="0" applyFont="1"/>
    <xf numFmtId="0" fontId="0" fillId="0" borderId="0" xfId="0"/>
    <xf numFmtId="0" fontId="13" fillId="0" borderId="0" xfId="0" applyFont="1" applyAlignment="1">
      <alignment vertical="center" wrapText="1"/>
    </xf>
    <xf numFmtId="0" fontId="21" fillId="0" borderId="0" xfId="0" applyFont="1"/>
    <xf numFmtId="0" fontId="5" fillId="0" borderId="0" xfId="0" applyFont="1"/>
    <xf numFmtId="0" fontId="3" fillId="3" borderId="0" xfId="0" applyFont="1" applyFill="1" applyAlignment="1">
      <alignment horizontal="left" vertical="center"/>
    </xf>
    <xf numFmtId="0" fontId="6" fillId="0" borderId="0" xfId="0" applyFont="1"/>
    <xf numFmtId="0" fontId="2" fillId="2" borderId="0" xfId="0" applyFont="1" applyFill="1"/>
    <xf numFmtId="0" fontId="16" fillId="2" borderId="0" xfId="0" applyFont="1" applyFill="1"/>
    <xf numFmtId="0" fontId="1" fillId="0" borderId="0" xfId="0" applyFont="1"/>
    <xf numFmtId="0" fontId="17" fillId="0" borderId="0" xfId="0" applyFont="1"/>
  </cellXfs>
  <cellStyles count="1">
    <cellStyle name="Normal" xfId="0" builtinId="0"/>
  </cellStyles>
  <dxfs count="17">
    <dxf>
      <fill>
        <patternFill patternType="solid">
          <fgColor rgb="FFDDEBF7"/>
        </patternFill>
      </fill>
    </dxf>
    <dxf>
      <font>
        <b/>
        <color rgb="FF9C0006"/>
        <name val="Arial"/>
      </font>
      <fill>
        <patternFill patternType="solid">
          <fgColor rgb="FFFFC7CE"/>
        </patternFill>
      </fill>
    </dxf>
    <dxf>
      <fill>
        <patternFill patternType="solid">
          <fgColor rgb="FFDDEBF7"/>
        </patternFill>
      </fill>
    </dxf>
    <dxf>
      <fill>
        <patternFill patternType="solid">
          <fgColor rgb="FFFFEB9C"/>
        </patternFill>
      </fill>
    </dxf>
    <dxf>
      <font>
        <b/>
        <color rgb="FF9C0006"/>
        <name val="Arial"/>
      </font>
      <fill>
        <patternFill patternType="solid">
          <fgColor rgb="FFFFC7CE"/>
        </patternFill>
      </fill>
    </dxf>
    <dxf>
      <font>
        <b/>
        <color rgb="FF9C0006"/>
        <name val="Arial"/>
      </font>
      <fill>
        <patternFill patternType="solid">
          <fgColor rgb="FFFFC7CE"/>
        </patternFill>
      </fill>
    </dxf>
    <dxf>
      <font>
        <b/>
        <color rgb="FF006100"/>
        <name val="Arial"/>
      </font>
      <fill>
        <patternFill patternType="solid">
          <fgColor rgb="FFC6EFCE"/>
        </patternFill>
      </fill>
    </dxf>
    <dxf>
      <font>
        <b/>
        <color rgb="FF9C0006"/>
        <name val="Arial"/>
      </font>
      <fill>
        <patternFill patternType="solid">
          <fgColor rgb="FFFFC7CE"/>
        </patternFill>
      </fill>
    </dxf>
    <dxf>
      <font>
        <b/>
        <name val="Arial"/>
      </font>
      <fill>
        <patternFill patternType="solid">
          <fgColor rgb="FFFFEB9C"/>
        </patternFill>
      </fill>
    </dxf>
    <dxf>
      <font>
        <b/>
        <color rgb="FF9C0006"/>
        <name val="Arial"/>
      </font>
      <fill>
        <patternFill patternType="solid">
          <fgColor rgb="FFFFC7CE"/>
        </patternFill>
      </fill>
    </dxf>
    <dxf>
      <font>
        <b/>
        <color rgb="FF006100"/>
        <name val="Arial"/>
      </font>
      <fill>
        <patternFill patternType="solid">
          <fgColor rgb="FFC6EFCE"/>
        </patternFill>
      </fill>
    </dxf>
    <dxf>
      <fill>
        <patternFill patternType="solid">
          <fgColor rgb="FFC6EFCE"/>
        </patternFill>
      </fill>
    </dxf>
    <dxf>
      <fill>
        <patternFill patternType="solid">
          <fgColor rgb="FFFFEB9C"/>
        </patternFill>
      </fill>
    </dxf>
    <dxf>
      <font>
        <b/>
        <color rgb="FF9C0006"/>
        <name val="Arial"/>
      </font>
      <fill>
        <patternFill patternType="solid">
          <fgColor rgb="FFFFC7CE"/>
        </patternFill>
      </fill>
    </dxf>
    <dxf>
      <fill>
        <patternFill patternType="solid">
          <fgColor rgb="FFC6EFCE"/>
        </patternFill>
      </fill>
    </dxf>
    <dxf>
      <fill>
        <patternFill patternType="solid">
          <fgColor rgb="FFFFEB9C"/>
        </patternFill>
      </fill>
    </dxf>
    <dxf>
      <font>
        <b/>
        <color rgb="FF9C0006"/>
        <name val="Arial"/>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14"/>
  <sheetViews>
    <sheetView showGridLines="0" tabSelected="1" workbookViewId="0">
      <pane xSplit="1" ySplit="4" topLeftCell="B5" activePane="bottomRight" state="frozen"/>
      <selection pane="topRight"/>
      <selection pane="bottomLeft"/>
      <selection pane="bottomRight" activeCell="A10" sqref="A10"/>
    </sheetView>
  </sheetViews>
  <sheetFormatPr baseColWidth="10" defaultColWidth="8.83203125" defaultRowHeight="15" x14ac:dyDescent="0.2"/>
  <cols>
    <col min="1" max="1" width="106.6640625" bestFit="1" customWidth="1"/>
    <col min="2" max="2" width="9.33203125" bestFit="1" customWidth="1"/>
    <col min="3" max="3" width="32.1640625" bestFit="1" customWidth="1"/>
    <col min="4" max="4" width="12" customWidth="1"/>
    <col min="5" max="5" width="69.83203125" bestFit="1" customWidth="1"/>
    <col min="6" max="6" width="8.6640625" bestFit="1" customWidth="1"/>
    <col min="7" max="7" width="138.6640625" bestFit="1" customWidth="1"/>
    <col min="8" max="8" width="8.6640625" bestFit="1" customWidth="1"/>
    <col min="9" max="9" width="42.83203125" bestFit="1" customWidth="1"/>
    <col min="10" max="10" width="7.83203125" bestFit="1" customWidth="1"/>
    <col min="11" max="11" width="9" bestFit="1" customWidth="1"/>
    <col min="12" max="12" width="10.33203125" bestFit="1" customWidth="1"/>
    <col min="13" max="13" width="8.33203125" bestFit="1" customWidth="1"/>
    <col min="14" max="14" width="9.5" bestFit="1" customWidth="1"/>
    <col min="15" max="15" width="8" bestFit="1" customWidth="1"/>
    <col min="16" max="16" width="9.5" bestFit="1" customWidth="1"/>
    <col min="17" max="22" width="9" customWidth="1"/>
    <col min="23" max="24" width="11" customWidth="1"/>
  </cols>
  <sheetData>
    <row r="1" spans="1:15" ht="22" customHeight="1" x14ac:dyDescent="0.2">
      <c r="A1" s="84" t="s">
        <v>259</v>
      </c>
      <c r="B1" s="84"/>
      <c r="C1" s="84"/>
      <c r="D1" s="84"/>
      <c r="E1" s="84"/>
      <c r="F1" s="84"/>
      <c r="G1" s="84"/>
      <c r="H1" s="84"/>
      <c r="I1" s="84"/>
      <c r="J1" s="84"/>
      <c r="K1" s="84"/>
      <c r="L1" s="84"/>
      <c r="M1" s="84"/>
      <c r="N1" s="84"/>
      <c r="O1" s="84"/>
    </row>
    <row r="2" spans="1:15" x14ac:dyDescent="0.2">
      <c r="A2" s="82" t="s">
        <v>0</v>
      </c>
      <c r="B2" s="82"/>
      <c r="C2" s="82"/>
      <c r="D2" s="82"/>
      <c r="E2" s="82"/>
      <c r="F2" s="82"/>
      <c r="G2" s="82"/>
      <c r="H2" s="82"/>
      <c r="I2" s="82"/>
      <c r="J2" s="82"/>
      <c r="K2" s="82"/>
      <c r="L2" s="82"/>
      <c r="M2" s="82"/>
      <c r="N2" s="82"/>
      <c r="O2" s="82"/>
    </row>
    <row r="3" spans="1:15" x14ac:dyDescent="0.2">
      <c r="A3" s="1" t="s">
        <v>1</v>
      </c>
      <c r="C3" s="1" t="s">
        <v>2</v>
      </c>
      <c r="E3" s="1" t="s">
        <v>3</v>
      </c>
      <c r="G3" s="1" t="s">
        <v>4</v>
      </c>
      <c r="I3" s="1" t="s">
        <v>5</v>
      </c>
      <c r="K3" s="1" t="s">
        <v>6</v>
      </c>
      <c r="M3" s="1" t="s">
        <v>7</v>
      </c>
    </row>
    <row r="4" spans="1:15" x14ac:dyDescent="0.2">
      <c r="A4" s="2">
        <f>$C$83</f>
        <v>0</v>
      </c>
      <c r="B4" s="3"/>
      <c r="C4" s="4" t="str">
        <f>$C$85</f>
        <v/>
      </c>
      <c r="D4" s="3"/>
      <c r="E4" s="5" t="str">
        <f>$C$100</f>
        <v/>
      </c>
      <c r="F4" s="3"/>
      <c r="G4" s="6" t="str">
        <f>IF($C$105="","",$C$105)</f>
        <v/>
      </c>
      <c r="H4" s="3"/>
      <c r="I4" s="6" t="str">
        <f>IF(AND($C$118="",$C$119=""),"",MAX(IF($C$118="",-99,$C$118),IF($C$119="",-99,$C$119)))</f>
        <v/>
      </c>
      <c r="J4" s="3"/>
      <c r="K4" s="4" t="str">
        <f>$C$147</f>
        <v/>
      </c>
      <c r="L4" s="3"/>
      <c r="M4" s="83" t="str">
        <f>$C$134</f>
        <v>— fill daily table + ENS members —</v>
      </c>
      <c r="N4" s="83"/>
      <c r="O4" s="83"/>
    </row>
    <row r="5" spans="1:15" x14ac:dyDescent="0.2">
      <c r="A5" s="78" t="s">
        <v>8</v>
      </c>
      <c r="B5" s="78"/>
      <c r="C5" s="78"/>
      <c r="D5" s="78"/>
      <c r="E5" s="78"/>
      <c r="F5" s="78"/>
      <c r="G5" s="78"/>
      <c r="H5" s="78"/>
      <c r="I5" s="78"/>
      <c r="J5" s="78"/>
      <c r="K5" s="78"/>
      <c r="L5" s="78"/>
      <c r="M5" s="78"/>
      <c r="N5" s="78"/>
      <c r="O5" s="78"/>
    </row>
    <row r="6" spans="1:15" ht="19" customHeight="1" x14ac:dyDescent="0.2">
      <c r="A6" s="80" t="s">
        <v>9</v>
      </c>
      <c r="B6" s="80"/>
      <c r="C6" s="80"/>
      <c r="D6" s="80"/>
      <c r="E6" s="80"/>
      <c r="F6" s="80"/>
      <c r="G6" s="80"/>
      <c r="H6" s="80"/>
      <c r="I6" s="80"/>
      <c r="J6" s="80"/>
      <c r="K6" s="80"/>
      <c r="L6" s="80"/>
      <c r="M6" s="80"/>
      <c r="N6" s="80"/>
      <c r="O6" s="80"/>
    </row>
    <row r="7" spans="1:15" x14ac:dyDescent="0.2">
      <c r="A7" s="7"/>
      <c r="C7" s="79"/>
      <c r="D7" s="79"/>
      <c r="E7" s="79"/>
      <c r="F7" s="79"/>
      <c r="G7" s="79"/>
      <c r="H7" s="79"/>
      <c r="I7" s="79"/>
      <c r="J7" s="79"/>
    </row>
    <row r="8" spans="1:15" x14ac:dyDescent="0.2">
      <c r="A8" s="7"/>
      <c r="C8" s="79"/>
      <c r="D8" s="79"/>
      <c r="E8" s="79"/>
      <c r="F8" s="79"/>
      <c r="G8" s="79"/>
      <c r="H8" s="79"/>
      <c r="I8" s="79"/>
      <c r="J8" s="79"/>
    </row>
    <row r="9" spans="1:15" x14ac:dyDescent="0.2">
      <c r="A9" s="7" t="s">
        <v>10</v>
      </c>
      <c r="C9" s="79" t="s">
        <v>11</v>
      </c>
      <c r="D9" s="79"/>
      <c r="E9" s="79"/>
      <c r="F9" s="79"/>
      <c r="G9" s="79"/>
      <c r="H9" s="79"/>
      <c r="I9" s="79"/>
      <c r="J9" s="79"/>
    </row>
    <row r="10" spans="1:15" x14ac:dyDescent="0.2">
      <c r="A10" s="7" t="s">
        <v>12</v>
      </c>
      <c r="C10" s="79" t="s">
        <v>13</v>
      </c>
      <c r="D10" s="79"/>
      <c r="E10" s="79"/>
      <c r="F10" s="79"/>
      <c r="G10" s="79"/>
      <c r="H10" s="79"/>
      <c r="I10" s="79"/>
      <c r="J10" s="79"/>
    </row>
    <row r="11" spans="1:15" x14ac:dyDescent="0.2">
      <c r="A11" s="7" t="s">
        <v>14</v>
      </c>
      <c r="C11" s="79" t="s">
        <v>15</v>
      </c>
      <c r="D11" s="79"/>
      <c r="E11" s="79"/>
      <c r="F11" s="79"/>
      <c r="G11" s="79"/>
      <c r="H11" s="79"/>
      <c r="I11" s="79"/>
      <c r="J11" s="79"/>
    </row>
    <row r="12" spans="1:15" x14ac:dyDescent="0.2">
      <c r="A12" s="7" t="s">
        <v>16</v>
      </c>
      <c r="C12" s="79" t="s">
        <v>17</v>
      </c>
      <c r="D12" s="79"/>
      <c r="E12" s="79"/>
      <c r="F12" s="79"/>
      <c r="G12" s="79"/>
      <c r="H12" s="79"/>
      <c r="I12" s="79"/>
      <c r="J12" s="79"/>
    </row>
    <row r="13" spans="1:15" x14ac:dyDescent="0.2">
      <c r="A13" s="7" t="s">
        <v>18</v>
      </c>
      <c r="C13" s="81">
        <v>31</v>
      </c>
      <c r="D13" s="81"/>
      <c r="E13" s="81"/>
      <c r="F13" s="81"/>
      <c r="G13" s="81"/>
      <c r="H13" s="81"/>
      <c r="I13" s="81"/>
      <c r="J13" s="81"/>
    </row>
    <row r="15" spans="1:15" x14ac:dyDescent="0.2">
      <c r="A15" s="9" t="s">
        <v>19</v>
      </c>
      <c r="B15" s="10"/>
      <c r="C15" s="10"/>
      <c r="D15" s="10"/>
      <c r="E15" s="10"/>
      <c r="F15" s="10"/>
      <c r="G15" s="10"/>
      <c r="H15" s="10"/>
      <c r="I15" s="10"/>
      <c r="J15" s="10"/>
    </row>
    <row r="16" spans="1:15" x14ac:dyDescent="0.2">
      <c r="A16" s="8" t="s">
        <v>20</v>
      </c>
      <c r="C16" s="11">
        <v>1.25</v>
      </c>
      <c r="E16" s="12" t="s">
        <v>21</v>
      </c>
    </row>
    <row r="17" spans="1:10" x14ac:dyDescent="0.2">
      <c r="A17" s="8" t="s">
        <v>22</v>
      </c>
      <c r="C17" s="13">
        <v>1.2549999999999999</v>
      </c>
      <c r="E17" s="12" t="s">
        <v>23</v>
      </c>
    </row>
    <row r="18" spans="1:10" x14ac:dyDescent="0.2">
      <c r="A18" s="8" t="s">
        <v>24</v>
      </c>
      <c r="C18" s="14">
        <v>1.2450000000000001</v>
      </c>
      <c r="E18" s="12" t="s">
        <v>25</v>
      </c>
    </row>
    <row r="19" spans="1:10" x14ac:dyDescent="0.2">
      <c r="A19" s="8" t="s">
        <v>26</v>
      </c>
      <c r="C19" s="15" t="s">
        <v>27</v>
      </c>
    </row>
    <row r="21" spans="1:10" x14ac:dyDescent="0.2">
      <c r="A21" s="9" t="s">
        <v>28</v>
      </c>
      <c r="B21" s="10"/>
      <c r="C21" s="10"/>
      <c r="D21" s="10"/>
      <c r="E21" s="10"/>
      <c r="F21" s="10"/>
      <c r="G21" s="10"/>
      <c r="H21" s="10"/>
      <c r="I21" s="10"/>
      <c r="J21" s="10"/>
    </row>
    <row r="22" spans="1:10" x14ac:dyDescent="0.2">
      <c r="A22" s="8" t="s">
        <v>29</v>
      </c>
      <c r="C22" s="16">
        <f>INTERCEPT($C$163:$C$198,$B$163:$B$198)</f>
        <v>0.58921187883662351</v>
      </c>
      <c r="E22" s="12" t="s">
        <v>30</v>
      </c>
    </row>
    <row r="23" spans="1:10" x14ac:dyDescent="0.2">
      <c r="A23" s="8" t="s">
        <v>31</v>
      </c>
      <c r="C23" s="16">
        <f>SLOPE($C$163:$C$198,$B$163:$B$198)</f>
        <v>0.96190197594864346</v>
      </c>
      <c r="E23" s="12" t="s">
        <v>32</v>
      </c>
    </row>
    <row r="24" spans="1:10" x14ac:dyDescent="0.2">
      <c r="A24" s="8" t="s">
        <v>33</v>
      </c>
      <c r="C24" s="16">
        <f>STEYX($C$163:$C$198,$B$163:$B$198)</f>
        <v>3.5675600287562739E-2</v>
      </c>
      <c r="E24" s="12" t="s">
        <v>34</v>
      </c>
    </row>
    <row r="25" spans="1:10" x14ac:dyDescent="0.2">
      <c r="A25" s="8" t="s">
        <v>35</v>
      </c>
      <c r="C25" s="17">
        <f>COUNT($B$163:$B$198)</f>
        <v>36</v>
      </c>
    </row>
    <row r="26" spans="1:10" x14ac:dyDescent="0.2">
      <c r="A26" s="8" t="s">
        <v>36</v>
      </c>
      <c r="C26" s="16">
        <f>($C$17-$C$22)/$C$23</f>
        <v>0.69215797223699982</v>
      </c>
      <c r="E26" s="12" t="s">
        <v>37</v>
      </c>
    </row>
    <row r="28" spans="1:10" x14ac:dyDescent="0.2">
      <c r="A28" s="9" t="s">
        <v>38</v>
      </c>
      <c r="B28" s="10"/>
      <c r="C28" s="10"/>
      <c r="D28" s="10"/>
      <c r="E28" s="10"/>
      <c r="F28" s="10"/>
      <c r="G28" s="10"/>
      <c r="H28" s="10"/>
      <c r="I28" s="10"/>
      <c r="J28" s="10"/>
    </row>
    <row r="29" spans="1:10" x14ac:dyDescent="0.2">
      <c r="A29" s="18" t="s">
        <v>39</v>
      </c>
      <c r="C29" s="18" t="s">
        <v>40</v>
      </c>
      <c r="D29" s="18" t="s">
        <v>41</v>
      </c>
      <c r="E29" s="18" t="s">
        <v>42</v>
      </c>
    </row>
    <row r="30" spans="1:10" x14ac:dyDescent="0.2">
      <c r="A30" s="19">
        <v>2</v>
      </c>
      <c r="C30" s="20">
        <f>IFERROR(INDEX(LINEST($B$163:$B$198,$E$163:$F$198),3,2),$D$30)</f>
        <v>5.6899999999999999E-2</v>
      </c>
      <c r="D30" s="21">
        <v>5.6899999999999999E-2</v>
      </c>
      <c r="E30" s="22">
        <f>IFERROR(SQRT(($C$23*$C$30)^2+$C$24^2),"")</f>
        <v>6.5332722491617548E-2</v>
      </c>
      <c r="G30" s="12" t="s">
        <v>43</v>
      </c>
    </row>
    <row r="31" spans="1:10" x14ac:dyDescent="0.2">
      <c r="A31" s="19">
        <v>5</v>
      </c>
      <c r="C31" s="20">
        <f>IFERROR(INDEX(LINEST($B$163:$B$198,$G$163:$H$198),3,2),$D$31)</f>
        <v>5.4100000000000002E-2</v>
      </c>
      <c r="D31" s="21">
        <v>5.4100000000000002E-2</v>
      </c>
      <c r="E31" s="22">
        <f>IFERROR(SQRT(($C$23*$C$31)^2+$C$24^2),"")</f>
        <v>6.3093543618377726E-2</v>
      </c>
      <c r="G31" s="12" t="s">
        <v>44</v>
      </c>
    </row>
    <row r="32" spans="1:10" x14ac:dyDescent="0.2">
      <c r="A32" s="19">
        <v>10</v>
      </c>
      <c r="C32" s="20">
        <f>IFERROR(INDEX(LINEST($B$163:$B$198,$I$163:$J$198),3,2),$D$32)</f>
        <v>4.3200000000000002E-2</v>
      </c>
      <c r="D32" s="21">
        <v>4.3200000000000002E-2</v>
      </c>
      <c r="E32" s="22">
        <f>IFERROR(SQRT(($C$23*$C$32)^2+$C$24^2),"")</f>
        <v>5.4767664864641921E-2</v>
      </c>
    </row>
    <row r="33" spans="1:24" x14ac:dyDescent="0.2">
      <c r="A33" s="19">
        <v>15</v>
      </c>
      <c r="C33" s="20">
        <f>IFERROR(INDEX(LINEST($B$163:$B$198,$K$163:$L$198),3,2),$D$33)</f>
        <v>4.1500000000000002E-2</v>
      </c>
      <c r="D33" s="21">
        <v>4.1500000000000002E-2</v>
      </c>
      <c r="E33" s="22">
        <f>IFERROR(SQRT(($C$23*$C$33)^2+$C$24^2),"")</f>
        <v>5.3537553063693191E-2</v>
      </c>
    </row>
    <row r="34" spans="1:24" x14ac:dyDescent="0.2">
      <c r="A34" s="19">
        <v>20</v>
      </c>
      <c r="C34" s="20">
        <f>IFERROR(INDEX(LINEST($B$163:$B$198,$M$163:$N$198),3,2),$D$34)</f>
        <v>3.8699999999999998E-2</v>
      </c>
      <c r="D34" s="21">
        <v>3.8699999999999998E-2</v>
      </c>
      <c r="E34" s="22">
        <f>IFERROR(SQRT(($C$23*$C$34)^2+$C$24^2),"")</f>
        <v>5.1560587980342333E-2</v>
      </c>
    </row>
    <row r="35" spans="1:24" x14ac:dyDescent="0.2">
      <c r="A35" s="19">
        <v>25</v>
      </c>
      <c r="C35" s="20">
        <f>IFERROR(INDEX(LINEST($B$163:$B$198,$O$163:$P$198),3,2),$D$35)</f>
        <v>2.2200000000000001E-2</v>
      </c>
      <c r="D35" s="21">
        <v>2.2200000000000001E-2</v>
      </c>
      <c r="E35" s="22">
        <f>IFERROR(SQRT(($C$23*$C$35)^2+$C$24^2),"")</f>
        <v>4.1578255528578259E-2</v>
      </c>
    </row>
    <row r="36" spans="1:24" x14ac:dyDescent="0.2">
      <c r="A36" s="19">
        <v>31</v>
      </c>
      <c r="C36" s="23">
        <v>0</v>
      </c>
      <c r="D36" s="21">
        <v>0</v>
      </c>
      <c r="E36" s="22">
        <f>IFERROR(SQRT(($C$23*$C$36)^2+$C$24^2),"")</f>
        <v>3.5675600287562739E-2</v>
      </c>
      <c r="G36" s="12" t="s">
        <v>45</v>
      </c>
    </row>
    <row r="38" spans="1:24" x14ac:dyDescent="0.2">
      <c r="A38" s="9" t="s">
        <v>46</v>
      </c>
      <c r="B38" s="10"/>
      <c r="C38" s="10"/>
      <c r="D38" s="10"/>
      <c r="E38" s="10"/>
      <c r="F38" s="10"/>
      <c r="G38" s="10"/>
      <c r="H38" s="10"/>
      <c r="I38" s="10"/>
      <c r="J38" s="10"/>
    </row>
    <row r="39" spans="1:24" x14ac:dyDescent="0.2">
      <c r="A39" s="8" t="s">
        <v>47</v>
      </c>
      <c r="C39" s="24">
        <v>1</v>
      </c>
      <c r="E39" s="12" t="s">
        <v>48</v>
      </c>
    </row>
    <row r="40" spans="1:24" x14ac:dyDescent="0.2">
      <c r="A40" s="8" t="s">
        <v>49</v>
      </c>
      <c r="C40" s="25">
        <v>1.3</v>
      </c>
      <c r="E40" s="12" t="s">
        <v>50</v>
      </c>
    </row>
    <row r="41" spans="1:24" x14ac:dyDescent="0.2">
      <c r="A41" s="8" t="s">
        <v>51</v>
      </c>
      <c r="C41" s="14">
        <v>1.2949999999999999</v>
      </c>
      <c r="E41" s="12" t="s">
        <v>52</v>
      </c>
    </row>
    <row r="42" spans="1:24" x14ac:dyDescent="0.2">
      <c r="A42" s="8" t="s">
        <v>53</v>
      </c>
      <c r="C42" s="26">
        <v>0.58030000000000004</v>
      </c>
      <c r="E42" s="26">
        <v>1.0287999999999999</v>
      </c>
      <c r="G42" s="26">
        <v>5.4199999999999998E-2</v>
      </c>
      <c r="I42" s="12" t="s">
        <v>54</v>
      </c>
    </row>
    <row r="43" spans="1:24" x14ac:dyDescent="0.2">
      <c r="A43" s="8" t="s">
        <v>55</v>
      </c>
      <c r="C43" s="25">
        <v>0.6</v>
      </c>
      <c r="E43" s="12" t="s">
        <v>56</v>
      </c>
    </row>
    <row r="44" spans="1:24" x14ac:dyDescent="0.2">
      <c r="A44" s="8" t="s">
        <v>57</v>
      </c>
      <c r="C44" s="27">
        <f>AVERAGE($B$194:$B$198)</f>
        <v>0.50449999999999995</v>
      </c>
      <c r="E44" s="12" t="s">
        <v>58</v>
      </c>
    </row>
    <row r="46" spans="1:24" ht="19" customHeight="1" x14ac:dyDescent="0.2">
      <c r="A46" s="80" t="s">
        <v>59</v>
      </c>
      <c r="B46" s="80"/>
      <c r="C46" s="80"/>
      <c r="D46" s="80"/>
      <c r="E46" s="80"/>
      <c r="F46" s="80"/>
      <c r="G46" s="80"/>
      <c r="H46" s="80"/>
      <c r="I46" s="80"/>
      <c r="J46" s="80"/>
      <c r="K46" s="80"/>
      <c r="L46" s="80"/>
      <c r="M46" s="80"/>
      <c r="N46" s="80"/>
      <c r="O46" s="80"/>
    </row>
    <row r="47" spans="1:24" x14ac:dyDescent="0.2">
      <c r="A47" s="28"/>
    </row>
    <row r="48" spans="1:24" ht="30" customHeight="1" x14ac:dyDescent="0.2">
      <c r="A48" s="29" t="s">
        <v>60</v>
      </c>
      <c r="B48" s="29" t="s">
        <v>61</v>
      </c>
      <c r="C48" s="29" t="s">
        <v>62</v>
      </c>
      <c r="D48" s="29" t="s">
        <v>63</v>
      </c>
      <c r="E48" s="29" t="s">
        <v>64</v>
      </c>
      <c r="F48" s="29" t="s">
        <v>65</v>
      </c>
      <c r="G48" s="29" t="s">
        <v>66</v>
      </c>
      <c r="H48" s="29" t="s">
        <v>67</v>
      </c>
      <c r="I48" s="29" t="s">
        <v>68</v>
      </c>
      <c r="J48" s="29" t="s">
        <v>69</v>
      </c>
      <c r="K48" s="29" t="s">
        <v>70</v>
      </c>
      <c r="L48" s="29" t="s">
        <v>71</v>
      </c>
      <c r="M48" s="29" t="s">
        <v>72</v>
      </c>
      <c r="N48" s="29" t="s">
        <v>73</v>
      </c>
      <c r="O48" s="29" t="s">
        <v>74</v>
      </c>
      <c r="P48" s="29" t="s">
        <v>75</v>
      </c>
      <c r="Q48" s="29" t="s">
        <v>76</v>
      </c>
      <c r="R48" s="29" t="s">
        <v>77</v>
      </c>
      <c r="S48" s="29" t="s">
        <v>78</v>
      </c>
      <c r="T48" s="29" t="s">
        <v>79</v>
      </c>
      <c r="U48" s="29" t="s">
        <v>80</v>
      </c>
      <c r="V48" s="29" t="s">
        <v>81</v>
      </c>
      <c r="W48" s="29" t="s">
        <v>82</v>
      </c>
      <c r="X48" s="29" t="s">
        <v>83</v>
      </c>
    </row>
    <row r="49" spans="1:24" x14ac:dyDescent="0.2">
      <c r="A49" s="30">
        <v>46235</v>
      </c>
      <c r="B49" s="31"/>
      <c r="C49" s="32"/>
      <c r="D49" s="31"/>
      <c r="E49" s="31"/>
      <c r="F49" s="31"/>
      <c r="G49" s="31"/>
      <c r="H49" s="31"/>
      <c r="I49" s="31"/>
      <c r="J49" s="31"/>
      <c r="K49" s="33" t="str">
        <f t="shared" ref="K49:K79" si="0">IF(ISNUMBER($B49),$B49,IF(ISNUMBER($D49),$D49,""))</f>
        <v/>
      </c>
      <c r="L49" s="33" t="str">
        <f>IF(COUNT($B$49:$B49)=0,"",AVERAGE($B$49:$B49))</f>
        <v/>
      </c>
      <c r="M49" s="33" t="str">
        <f t="shared" ref="M49:M79" si="1">IF(AND(ISNUMBER($B49),ISNUMBER($D49)),$B49-$D49,"")</f>
        <v/>
      </c>
      <c r="N49" s="33" t="str">
        <f t="shared" ref="N49:N79" si="2">IF(AND(ISNUMBER($B49),ISNUMBER($H49)),$B49-$H49,"")</f>
        <v/>
      </c>
      <c r="O49" s="33" t="str">
        <f t="shared" ref="O49:O79" si="3">IF(AND(ISNUMBER($B49),ISNUMBER($I49)),$B49-$I49,"")</f>
        <v/>
      </c>
      <c r="P49" s="34" t="str">
        <f t="shared" ref="P49:P79" si="4">IF(AND($B49="",ISNUMBER($D49)),$D49,"")</f>
        <v/>
      </c>
      <c r="Q49" s="34" t="str">
        <f t="shared" ref="Q49:Q79" si="5">IF(ISNUMBER($M49),ABS($M49),"")</f>
        <v/>
      </c>
      <c r="R49" s="35" t="str">
        <f t="shared" ref="R49:R79" si="6">IF(ISNUMBER($M49),$M49^2,"")</f>
        <v/>
      </c>
      <c r="S49" s="34" t="str">
        <f t="shared" ref="S49:S79" si="7">IF(ISNUMBER($N49),ABS($N49),"")</f>
        <v/>
      </c>
      <c r="T49" s="35" t="str">
        <f t="shared" ref="T49:T79" si="8">IF(ISNUMBER($N49),$N49^2,"")</f>
        <v/>
      </c>
      <c r="U49" s="34" t="str">
        <f t="shared" ref="U49:U79" si="9">IF(ISNUMBER($O49),ABS($O49),"")</f>
        <v/>
      </c>
      <c r="V49" s="35" t="str">
        <f t="shared" ref="V49:V79" si="10">IF(ISNUMBER($O49),$O49^2,"")</f>
        <v/>
      </c>
      <c r="W49" s="35" t="str">
        <f t="shared" ref="W49:W79" si="11">IF(ISNUMBER($B49),($B49-$C$44)^2,"")</f>
        <v/>
      </c>
      <c r="X49" s="34" t="str">
        <f t="shared" ref="X49:X79" si="12">IF(AND($B49="",ISNUMBER($E49)),$E49,"")</f>
        <v/>
      </c>
    </row>
    <row r="50" spans="1:24" x14ac:dyDescent="0.2">
      <c r="A50" s="30">
        <v>46236</v>
      </c>
      <c r="B50" s="31"/>
      <c r="C50" s="32"/>
      <c r="D50" s="31"/>
      <c r="E50" s="31"/>
      <c r="F50" s="31"/>
      <c r="G50" s="31"/>
      <c r="H50" s="31"/>
      <c r="I50" s="31"/>
      <c r="J50" s="31"/>
      <c r="K50" s="33" t="str">
        <f t="shared" si="0"/>
        <v/>
      </c>
      <c r="L50" s="33" t="str">
        <f>IF(COUNT($B$49:$B50)=0,"",AVERAGE($B$49:$B50))</f>
        <v/>
      </c>
      <c r="M50" s="33" t="str">
        <f t="shared" si="1"/>
        <v/>
      </c>
      <c r="N50" s="33" t="str">
        <f t="shared" si="2"/>
        <v/>
      </c>
      <c r="O50" s="33" t="str">
        <f t="shared" si="3"/>
        <v/>
      </c>
      <c r="P50" s="34" t="str">
        <f t="shared" si="4"/>
        <v/>
      </c>
      <c r="Q50" s="34" t="str">
        <f t="shared" si="5"/>
        <v/>
      </c>
      <c r="R50" s="35" t="str">
        <f t="shared" si="6"/>
        <v/>
      </c>
      <c r="S50" s="34" t="str">
        <f t="shared" si="7"/>
        <v/>
      </c>
      <c r="T50" s="35" t="str">
        <f t="shared" si="8"/>
        <v/>
      </c>
      <c r="U50" s="34" t="str">
        <f t="shared" si="9"/>
        <v/>
      </c>
      <c r="V50" s="35" t="str">
        <f t="shared" si="10"/>
        <v/>
      </c>
      <c r="W50" s="35" t="str">
        <f t="shared" si="11"/>
        <v/>
      </c>
      <c r="X50" s="34" t="str">
        <f t="shared" si="12"/>
        <v/>
      </c>
    </row>
    <row r="51" spans="1:24" x14ac:dyDescent="0.2">
      <c r="A51" s="30">
        <v>46237</v>
      </c>
      <c r="B51" s="31"/>
      <c r="C51" s="32"/>
      <c r="D51" s="31"/>
      <c r="E51" s="31"/>
      <c r="F51" s="31"/>
      <c r="G51" s="31"/>
      <c r="H51" s="31"/>
      <c r="I51" s="31"/>
      <c r="J51" s="31"/>
      <c r="K51" s="33" t="str">
        <f t="shared" si="0"/>
        <v/>
      </c>
      <c r="L51" s="33" t="str">
        <f>IF(COUNT($B$49:$B51)=0,"",AVERAGE($B$49:$B51))</f>
        <v/>
      </c>
      <c r="M51" s="33" t="str">
        <f t="shared" si="1"/>
        <v/>
      </c>
      <c r="N51" s="33" t="str">
        <f t="shared" si="2"/>
        <v/>
      </c>
      <c r="O51" s="33" t="str">
        <f t="shared" si="3"/>
        <v/>
      </c>
      <c r="P51" s="34" t="str">
        <f t="shared" si="4"/>
        <v/>
      </c>
      <c r="Q51" s="34" t="str">
        <f t="shared" si="5"/>
        <v/>
      </c>
      <c r="R51" s="35" t="str">
        <f t="shared" si="6"/>
        <v/>
      </c>
      <c r="S51" s="34" t="str">
        <f t="shared" si="7"/>
        <v/>
      </c>
      <c r="T51" s="35" t="str">
        <f t="shared" si="8"/>
        <v/>
      </c>
      <c r="U51" s="34" t="str">
        <f t="shared" si="9"/>
        <v/>
      </c>
      <c r="V51" s="35" t="str">
        <f t="shared" si="10"/>
        <v/>
      </c>
      <c r="W51" s="35" t="str">
        <f t="shared" si="11"/>
        <v/>
      </c>
      <c r="X51" s="34" t="str">
        <f t="shared" si="12"/>
        <v/>
      </c>
    </row>
    <row r="52" spans="1:24" x14ac:dyDescent="0.2">
      <c r="A52" s="30">
        <v>46238</v>
      </c>
      <c r="B52" s="31"/>
      <c r="C52" s="32"/>
      <c r="D52" s="31"/>
      <c r="E52" s="31"/>
      <c r="F52" s="31"/>
      <c r="G52" s="31"/>
      <c r="H52" s="31"/>
      <c r="I52" s="31"/>
      <c r="J52" s="31"/>
      <c r="K52" s="33" t="str">
        <f t="shared" si="0"/>
        <v/>
      </c>
      <c r="L52" s="33" t="str">
        <f>IF(COUNT($B$49:$B52)=0,"",AVERAGE($B$49:$B52))</f>
        <v/>
      </c>
      <c r="M52" s="33" t="str">
        <f t="shared" si="1"/>
        <v/>
      </c>
      <c r="N52" s="33" t="str">
        <f t="shared" si="2"/>
        <v/>
      </c>
      <c r="O52" s="33" t="str">
        <f t="shared" si="3"/>
        <v/>
      </c>
      <c r="P52" s="34" t="str">
        <f t="shared" si="4"/>
        <v/>
      </c>
      <c r="Q52" s="34" t="str">
        <f t="shared" si="5"/>
        <v/>
      </c>
      <c r="R52" s="35" t="str">
        <f t="shared" si="6"/>
        <v/>
      </c>
      <c r="S52" s="34" t="str">
        <f t="shared" si="7"/>
        <v/>
      </c>
      <c r="T52" s="35" t="str">
        <f t="shared" si="8"/>
        <v/>
      </c>
      <c r="U52" s="34" t="str">
        <f t="shared" si="9"/>
        <v/>
      </c>
      <c r="V52" s="35" t="str">
        <f t="shared" si="10"/>
        <v/>
      </c>
      <c r="W52" s="35" t="str">
        <f t="shared" si="11"/>
        <v/>
      </c>
      <c r="X52" s="34" t="str">
        <f t="shared" si="12"/>
        <v/>
      </c>
    </row>
    <row r="53" spans="1:24" x14ac:dyDescent="0.2">
      <c r="A53" s="30">
        <v>46239</v>
      </c>
      <c r="B53" s="31"/>
      <c r="C53" s="32"/>
      <c r="D53" s="31"/>
      <c r="E53" s="31"/>
      <c r="F53" s="31"/>
      <c r="G53" s="31"/>
      <c r="H53" s="31"/>
      <c r="I53" s="31"/>
      <c r="J53" s="31"/>
      <c r="K53" s="33" t="str">
        <f t="shared" si="0"/>
        <v/>
      </c>
      <c r="L53" s="33" t="str">
        <f>IF(COUNT($B$49:$B53)=0,"",AVERAGE($B$49:$B53))</f>
        <v/>
      </c>
      <c r="M53" s="33" t="str">
        <f t="shared" si="1"/>
        <v/>
      </c>
      <c r="N53" s="33" t="str">
        <f t="shared" si="2"/>
        <v/>
      </c>
      <c r="O53" s="33" t="str">
        <f t="shared" si="3"/>
        <v/>
      </c>
      <c r="P53" s="34" t="str">
        <f t="shared" si="4"/>
        <v/>
      </c>
      <c r="Q53" s="34" t="str">
        <f t="shared" si="5"/>
        <v/>
      </c>
      <c r="R53" s="35" t="str">
        <f t="shared" si="6"/>
        <v/>
      </c>
      <c r="S53" s="34" t="str">
        <f t="shared" si="7"/>
        <v/>
      </c>
      <c r="T53" s="35" t="str">
        <f t="shared" si="8"/>
        <v/>
      </c>
      <c r="U53" s="34" t="str">
        <f t="shared" si="9"/>
        <v/>
      </c>
      <c r="V53" s="35" t="str">
        <f t="shared" si="10"/>
        <v/>
      </c>
      <c r="W53" s="35" t="str">
        <f t="shared" si="11"/>
        <v/>
      </c>
      <c r="X53" s="34" t="str">
        <f t="shared" si="12"/>
        <v/>
      </c>
    </row>
    <row r="54" spans="1:24" x14ac:dyDescent="0.2">
      <c r="A54" s="30">
        <v>46240</v>
      </c>
      <c r="B54" s="31"/>
      <c r="C54" s="32"/>
      <c r="D54" s="31"/>
      <c r="E54" s="31"/>
      <c r="F54" s="31"/>
      <c r="G54" s="31"/>
      <c r="H54" s="31"/>
      <c r="I54" s="31"/>
      <c r="J54" s="31"/>
      <c r="K54" s="33" t="str">
        <f t="shared" si="0"/>
        <v/>
      </c>
      <c r="L54" s="33" t="str">
        <f>IF(COUNT($B$49:$B54)=0,"",AVERAGE($B$49:$B54))</f>
        <v/>
      </c>
      <c r="M54" s="33" t="str">
        <f t="shared" si="1"/>
        <v/>
      </c>
      <c r="N54" s="33" t="str">
        <f t="shared" si="2"/>
        <v/>
      </c>
      <c r="O54" s="33" t="str">
        <f t="shared" si="3"/>
        <v/>
      </c>
      <c r="P54" s="34" t="str">
        <f t="shared" si="4"/>
        <v/>
      </c>
      <c r="Q54" s="34" t="str">
        <f t="shared" si="5"/>
        <v/>
      </c>
      <c r="R54" s="35" t="str">
        <f t="shared" si="6"/>
        <v/>
      </c>
      <c r="S54" s="34" t="str">
        <f t="shared" si="7"/>
        <v/>
      </c>
      <c r="T54" s="35" t="str">
        <f t="shared" si="8"/>
        <v/>
      </c>
      <c r="U54" s="34" t="str">
        <f t="shared" si="9"/>
        <v/>
      </c>
      <c r="V54" s="35" t="str">
        <f t="shared" si="10"/>
        <v/>
      </c>
      <c r="W54" s="35" t="str">
        <f t="shared" si="11"/>
        <v/>
      </c>
      <c r="X54" s="34" t="str">
        <f t="shared" si="12"/>
        <v/>
      </c>
    </row>
    <row r="55" spans="1:24" x14ac:dyDescent="0.2">
      <c r="A55" s="30">
        <v>46241</v>
      </c>
      <c r="B55" s="31"/>
      <c r="C55" s="32"/>
      <c r="D55" s="31"/>
      <c r="E55" s="31"/>
      <c r="F55" s="31"/>
      <c r="G55" s="31"/>
      <c r="H55" s="31"/>
      <c r="I55" s="31"/>
      <c r="J55" s="31"/>
      <c r="K55" s="33" t="str">
        <f t="shared" si="0"/>
        <v/>
      </c>
      <c r="L55" s="33" t="str">
        <f>IF(COUNT($B$49:$B55)=0,"",AVERAGE($B$49:$B55))</f>
        <v/>
      </c>
      <c r="M55" s="33" t="str">
        <f t="shared" si="1"/>
        <v/>
      </c>
      <c r="N55" s="33" t="str">
        <f t="shared" si="2"/>
        <v/>
      </c>
      <c r="O55" s="33" t="str">
        <f t="shared" si="3"/>
        <v/>
      </c>
      <c r="P55" s="34" t="str">
        <f t="shared" si="4"/>
        <v/>
      </c>
      <c r="Q55" s="34" t="str">
        <f t="shared" si="5"/>
        <v/>
      </c>
      <c r="R55" s="35" t="str">
        <f t="shared" si="6"/>
        <v/>
      </c>
      <c r="S55" s="34" t="str">
        <f t="shared" si="7"/>
        <v/>
      </c>
      <c r="T55" s="35" t="str">
        <f t="shared" si="8"/>
        <v/>
      </c>
      <c r="U55" s="34" t="str">
        <f t="shared" si="9"/>
        <v/>
      </c>
      <c r="V55" s="35" t="str">
        <f t="shared" si="10"/>
        <v/>
      </c>
      <c r="W55" s="35" t="str">
        <f t="shared" si="11"/>
        <v/>
      </c>
      <c r="X55" s="34" t="str">
        <f t="shared" si="12"/>
        <v/>
      </c>
    </row>
    <row r="56" spans="1:24" x14ac:dyDescent="0.2">
      <c r="A56" s="30">
        <v>46242</v>
      </c>
      <c r="B56" s="31"/>
      <c r="C56" s="32"/>
      <c r="D56" s="31"/>
      <c r="E56" s="31"/>
      <c r="F56" s="31"/>
      <c r="G56" s="31"/>
      <c r="H56" s="31"/>
      <c r="I56" s="31"/>
      <c r="J56" s="31"/>
      <c r="K56" s="33" t="str">
        <f t="shared" si="0"/>
        <v/>
      </c>
      <c r="L56" s="33" t="str">
        <f>IF(COUNT($B$49:$B56)=0,"",AVERAGE($B$49:$B56))</f>
        <v/>
      </c>
      <c r="M56" s="33" t="str">
        <f t="shared" si="1"/>
        <v/>
      </c>
      <c r="N56" s="33" t="str">
        <f t="shared" si="2"/>
        <v/>
      </c>
      <c r="O56" s="33" t="str">
        <f t="shared" si="3"/>
        <v/>
      </c>
      <c r="P56" s="34" t="str">
        <f t="shared" si="4"/>
        <v/>
      </c>
      <c r="Q56" s="34" t="str">
        <f t="shared" si="5"/>
        <v/>
      </c>
      <c r="R56" s="35" t="str">
        <f t="shared" si="6"/>
        <v/>
      </c>
      <c r="S56" s="34" t="str">
        <f t="shared" si="7"/>
        <v/>
      </c>
      <c r="T56" s="35" t="str">
        <f t="shared" si="8"/>
        <v/>
      </c>
      <c r="U56" s="34" t="str">
        <f t="shared" si="9"/>
        <v/>
      </c>
      <c r="V56" s="35" t="str">
        <f t="shared" si="10"/>
        <v/>
      </c>
      <c r="W56" s="35" t="str">
        <f t="shared" si="11"/>
        <v/>
      </c>
      <c r="X56" s="34" t="str">
        <f t="shared" si="12"/>
        <v/>
      </c>
    </row>
    <row r="57" spans="1:24" x14ac:dyDescent="0.2">
      <c r="A57" s="30">
        <v>46243</v>
      </c>
      <c r="B57" s="31"/>
      <c r="C57" s="32"/>
      <c r="D57" s="31"/>
      <c r="E57" s="31"/>
      <c r="F57" s="31"/>
      <c r="G57" s="31"/>
      <c r="H57" s="31"/>
      <c r="I57" s="31"/>
      <c r="J57" s="31"/>
      <c r="K57" s="33" t="str">
        <f t="shared" si="0"/>
        <v/>
      </c>
      <c r="L57" s="33" t="str">
        <f>IF(COUNT($B$49:$B57)=0,"",AVERAGE($B$49:$B57))</f>
        <v/>
      </c>
      <c r="M57" s="33" t="str">
        <f t="shared" si="1"/>
        <v/>
      </c>
      <c r="N57" s="33" t="str">
        <f t="shared" si="2"/>
        <v/>
      </c>
      <c r="O57" s="33" t="str">
        <f t="shared" si="3"/>
        <v/>
      </c>
      <c r="P57" s="34" t="str">
        <f t="shared" si="4"/>
        <v/>
      </c>
      <c r="Q57" s="34" t="str">
        <f t="shared" si="5"/>
        <v/>
      </c>
      <c r="R57" s="35" t="str">
        <f t="shared" si="6"/>
        <v/>
      </c>
      <c r="S57" s="34" t="str">
        <f t="shared" si="7"/>
        <v/>
      </c>
      <c r="T57" s="35" t="str">
        <f t="shared" si="8"/>
        <v/>
      </c>
      <c r="U57" s="34" t="str">
        <f t="shared" si="9"/>
        <v/>
      </c>
      <c r="V57" s="35" t="str">
        <f t="shared" si="10"/>
        <v/>
      </c>
      <c r="W57" s="35" t="str">
        <f t="shared" si="11"/>
        <v/>
      </c>
      <c r="X57" s="34" t="str">
        <f t="shared" si="12"/>
        <v/>
      </c>
    </row>
    <row r="58" spans="1:24" x14ac:dyDescent="0.2">
      <c r="A58" s="30">
        <v>46244</v>
      </c>
      <c r="B58" s="31"/>
      <c r="C58" s="32"/>
      <c r="D58" s="31"/>
      <c r="E58" s="31"/>
      <c r="F58" s="31"/>
      <c r="G58" s="31"/>
      <c r="H58" s="31"/>
      <c r="I58" s="31"/>
      <c r="J58" s="31"/>
      <c r="K58" s="33" t="str">
        <f t="shared" si="0"/>
        <v/>
      </c>
      <c r="L58" s="33" t="str">
        <f>IF(COUNT($B$49:$B58)=0,"",AVERAGE($B$49:$B58))</f>
        <v/>
      </c>
      <c r="M58" s="33" t="str">
        <f t="shared" si="1"/>
        <v/>
      </c>
      <c r="N58" s="33" t="str">
        <f t="shared" si="2"/>
        <v/>
      </c>
      <c r="O58" s="33" t="str">
        <f t="shared" si="3"/>
        <v/>
      </c>
      <c r="P58" s="34" t="str">
        <f t="shared" si="4"/>
        <v/>
      </c>
      <c r="Q58" s="34" t="str">
        <f t="shared" si="5"/>
        <v/>
      </c>
      <c r="R58" s="35" t="str">
        <f t="shared" si="6"/>
        <v/>
      </c>
      <c r="S58" s="34" t="str">
        <f t="shared" si="7"/>
        <v/>
      </c>
      <c r="T58" s="35" t="str">
        <f t="shared" si="8"/>
        <v/>
      </c>
      <c r="U58" s="34" t="str">
        <f t="shared" si="9"/>
        <v/>
      </c>
      <c r="V58" s="35" t="str">
        <f t="shared" si="10"/>
        <v/>
      </c>
      <c r="W58" s="35" t="str">
        <f t="shared" si="11"/>
        <v/>
      </c>
      <c r="X58" s="34" t="str">
        <f t="shared" si="12"/>
        <v/>
      </c>
    </row>
    <row r="59" spans="1:24" x14ac:dyDescent="0.2">
      <c r="A59" s="30">
        <v>46245</v>
      </c>
      <c r="B59" s="31"/>
      <c r="C59" s="32"/>
      <c r="D59" s="31"/>
      <c r="E59" s="31"/>
      <c r="F59" s="31"/>
      <c r="G59" s="31"/>
      <c r="H59" s="31"/>
      <c r="I59" s="31"/>
      <c r="J59" s="31"/>
      <c r="K59" s="33" t="str">
        <f t="shared" si="0"/>
        <v/>
      </c>
      <c r="L59" s="33" t="str">
        <f>IF(COUNT($B$49:$B59)=0,"",AVERAGE($B$49:$B59))</f>
        <v/>
      </c>
      <c r="M59" s="33" t="str">
        <f t="shared" si="1"/>
        <v/>
      </c>
      <c r="N59" s="33" t="str">
        <f t="shared" si="2"/>
        <v/>
      </c>
      <c r="O59" s="33" t="str">
        <f t="shared" si="3"/>
        <v/>
      </c>
      <c r="P59" s="34" t="str">
        <f t="shared" si="4"/>
        <v/>
      </c>
      <c r="Q59" s="34" t="str">
        <f t="shared" si="5"/>
        <v/>
      </c>
      <c r="R59" s="35" t="str">
        <f t="shared" si="6"/>
        <v/>
      </c>
      <c r="S59" s="34" t="str">
        <f t="shared" si="7"/>
        <v/>
      </c>
      <c r="T59" s="35" t="str">
        <f t="shared" si="8"/>
        <v/>
      </c>
      <c r="U59" s="34" t="str">
        <f t="shared" si="9"/>
        <v/>
      </c>
      <c r="V59" s="35" t="str">
        <f t="shared" si="10"/>
        <v/>
      </c>
      <c r="W59" s="35" t="str">
        <f t="shared" si="11"/>
        <v/>
      </c>
      <c r="X59" s="34" t="str">
        <f t="shared" si="12"/>
        <v/>
      </c>
    </row>
    <row r="60" spans="1:24" x14ac:dyDescent="0.2">
      <c r="A60" s="30">
        <v>46246</v>
      </c>
      <c r="B60" s="31"/>
      <c r="C60" s="32"/>
      <c r="D60" s="31"/>
      <c r="E60" s="31"/>
      <c r="F60" s="31"/>
      <c r="G60" s="31"/>
      <c r="H60" s="31"/>
      <c r="I60" s="31"/>
      <c r="J60" s="31"/>
      <c r="K60" s="33" t="str">
        <f t="shared" si="0"/>
        <v/>
      </c>
      <c r="L60" s="33" t="str">
        <f>IF(COUNT($B$49:$B60)=0,"",AVERAGE($B$49:$B60))</f>
        <v/>
      </c>
      <c r="M60" s="33" t="str">
        <f t="shared" si="1"/>
        <v/>
      </c>
      <c r="N60" s="33" t="str">
        <f t="shared" si="2"/>
        <v/>
      </c>
      <c r="O60" s="33" t="str">
        <f t="shared" si="3"/>
        <v/>
      </c>
      <c r="P60" s="34" t="str">
        <f t="shared" si="4"/>
        <v/>
      </c>
      <c r="Q60" s="34" t="str">
        <f t="shared" si="5"/>
        <v/>
      </c>
      <c r="R60" s="35" t="str">
        <f t="shared" si="6"/>
        <v/>
      </c>
      <c r="S60" s="34" t="str">
        <f t="shared" si="7"/>
        <v/>
      </c>
      <c r="T60" s="35" t="str">
        <f t="shared" si="8"/>
        <v/>
      </c>
      <c r="U60" s="34" t="str">
        <f t="shared" si="9"/>
        <v/>
      </c>
      <c r="V60" s="35" t="str">
        <f t="shared" si="10"/>
        <v/>
      </c>
      <c r="W60" s="35" t="str">
        <f t="shared" si="11"/>
        <v/>
      </c>
      <c r="X60" s="34" t="str">
        <f t="shared" si="12"/>
        <v/>
      </c>
    </row>
    <row r="61" spans="1:24" x14ac:dyDescent="0.2">
      <c r="A61" s="30">
        <v>46247</v>
      </c>
      <c r="B61" s="31"/>
      <c r="C61" s="32"/>
      <c r="D61" s="31"/>
      <c r="E61" s="31"/>
      <c r="F61" s="31"/>
      <c r="G61" s="31"/>
      <c r="H61" s="31"/>
      <c r="I61" s="31"/>
      <c r="J61" s="31"/>
      <c r="K61" s="33" t="str">
        <f t="shared" si="0"/>
        <v/>
      </c>
      <c r="L61" s="33" t="str">
        <f>IF(COUNT($B$49:$B61)=0,"",AVERAGE($B$49:$B61))</f>
        <v/>
      </c>
      <c r="M61" s="33" t="str">
        <f t="shared" si="1"/>
        <v/>
      </c>
      <c r="N61" s="33" t="str">
        <f t="shared" si="2"/>
        <v/>
      </c>
      <c r="O61" s="33" t="str">
        <f t="shared" si="3"/>
        <v/>
      </c>
      <c r="P61" s="34" t="str">
        <f t="shared" si="4"/>
        <v/>
      </c>
      <c r="Q61" s="34" t="str">
        <f t="shared" si="5"/>
        <v/>
      </c>
      <c r="R61" s="35" t="str">
        <f t="shared" si="6"/>
        <v/>
      </c>
      <c r="S61" s="34" t="str">
        <f t="shared" si="7"/>
        <v/>
      </c>
      <c r="T61" s="35" t="str">
        <f t="shared" si="8"/>
        <v/>
      </c>
      <c r="U61" s="34" t="str">
        <f t="shared" si="9"/>
        <v/>
      </c>
      <c r="V61" s="35" t="str">
        <f t="shared" si="10"/>
        <v/>
      </c>
      <c r="W61" s="35" t="str">
        <f t="shared" si="11"/>
        <v/>
      </c>
      <c r="X61" s="34" t="str">
        <f t="shared" si="12"/>
        <v/>
      </c>
    </row>
    <row r="62" spans="1:24" x14ac:dyDescent="0.2">
      <c r="A62" s="30">
        <v>46248</v>
      </c>
      <c r="B62" s="31"/>
      <c r="C62" s="32"/>
      <c r="D62" s="31"/>
      <c r="E62" s="31"/>
      <c r="F62" s="31"/>
      <c r="G62" s="31"/>
      <c r="H62" s="31"/>
      <c r="I62" s="31"/>
      <c r="J62" s="31"/>
      <c r="K62" s="33" t="str">
        <f t="shared" si="0"/>
        <v/>
      </c>
      <c r="L62" s="33" t="str">
        <f>IF(COUNT($B$49:$B62)=0,"",AVERAGE($B$49:$B62))</f>
        <v/>
      </c>
      <c r="M62" s="33" t="str">
        <f t="shared" si="1"/>
        <v/>
      </c>
      <c r="N62" s="33" t="str">
        <f t="shared" si="2"/>
        <v/>
      </c>
      <c r="O62" s="33" t="str">
        <f t="shared" si="3"/>
        <v/>
      </c>
      <c r="P62" s="34" t="str">
        <f t="shared" si="4"/>
        <v/>
      </c>
      <c r="Q62" s="34" t="str">
        <f t="shared" si="5"/>
        <v/>
      </c>
      <c r="R62" s="35" t="str">
        <f t="shared" si="6"/>
        <v/>
      </c>
      <c r="S62" s="34" t="str">
        <f t="shared" si="7"/>
        <v/>
      </c>
      <c r="T62" s="35" t="str">
        <f t="shared" si="8"/>
        <v/>
      </c>
      <c r="U62" s="34" t="str">
        <f t="shared" si="9"/>
        <v/>
      </c>
      <c r="V62" s="35" t="str">
        <f t="shared" si="10"/>
        <v/>
      </c>
      <c r="W62" s="35" t="str">
        <f t="shared" si="11"/>
        <v/>
      </c>
      <c r="X62" s="34" t="str">
        <f t="shared" si="12"/>
        <v/>
      </c>
    </row>
    <row r="63" spans="1:24" x14ac:dyDescent="0.2">
      <c r="A63" s="30">
        <v>46249</v>
      </c>
      <c r="B63" s="31"/>
      <c r="C63" s="32"/>
      <c r="D63" s="31"/>
      <c r="E63" s="31"/>
      <c r="F63" s="31"/>
      <c r="G63" s="31"/>
      <c r="H63" s="31"/>
      <c r="I63" s="31"/>
      <c r="J63" s="31"/>
      <c r="K63" s="33" t="str">
        <f t="shared" si="0"/>
        <v/>
      </c>
      <c r="L63" s="33" t="str">
        <f>IF(COUNT($B$49:$B63)=0,"",AVERAGE($B$49:$B63))</f>
        <v/>
      </c>
      <c r="M63" s="33" t="str">
        <f t="shared" si="1"/>
        <v/>
      </c>
      <c r="N63" s="33" t="str">
        <f t="shared" si="2"/>
        <v/>
      </c>
      <c r="O63" s="33" t="str">
        <f t="shared" si="3"/>
        <v/>
      </c>
      <c r="P63" s="34" t="str">
        <f t="shared" si="4"/>
        <v/>
      </c>
      <c r="Q63" s="34" t="str">
        <f t="shared" si="5"/>
        <v/>
      </c>
      <c r="R63" s="35" t="str">
        <f t="shared" si="6"/>
        <v/>
      </c>
      <c r="S63" s="34" t="str">
        <f t="shared" si="7"/>
        <v/>
      </c>
      <c r="T63" s="35" t="str">
        <f t="shared" si="8"/>
        <v/>
      </c>
      <c r="U63" s="34" t="str">
        <f t="shared" si="9"/>
        <v/>
      </c>
      <c r="V63" s="35" t="str">
        <f t="shared" si="10"/>
        <v/>
      </c>
      <c r="W63" s="35" t="str">
        <f t="shared" si="11"/>
        <v/>
      </c>
      <c r="X63" s="34" t="str">
        <f t="shared" si="12"/>
        <v/>
      </c>
    </row>
    <row r="64" spans="1:24" x14ac:dyDescent="0.2">
      <c r="A64" s="30">
        <v>46250</v>
      </c>
      <c r="B64" s="31"/>
      <c r="C64" s="32"/>
      <c r="D64" s="31"/>
      <c r="E64" s="31"/>
      <c r="F64" s="31"/>
      <c r="G64" s="31"/>
      <c r="H64" s="31"/>
      <c r="I64" s="31"/>
      <c r="J64" s="31"/>
      <c r="K64" s="33" t="str">
        <f t="shared" si="0"/>
        <v/>
      </c>
      <c r="L64" s="33" t="str">
        <f>IF(COUNT($B$49:$B64)=0,"",AVERAGE($B$49:$B64))</f>
        <v/>
      </c>
      <c r="M64" s="33" t="str">
        <f t="shared" si="1"/>
        <v/>
      </c>
      <c r="N64" s="33" t="str">
        <f t="shared" si="2"/>
        <v/>
      </c>
      <c r="O64" s="33" t="str">
        <f t="shared" si="3"/>
        <v/>
      </c>
      <c r="P64" s="34" t="str">
        <f t="shared" si="4"/>
        <v/>
      </c>
      <c r="Q64" s="34" t="str">
        <f t="shared" si="5"/>
        <v/>
      </c>
      <c r="R64" s="35" t="str">
        <f t="shared" si="6"/>
        <v/>
      </c>
      <c r="S64" s="34" t="str">
        <f t="shared" si="7"/>
        <v/>
      </c>
      <c r="T64" s="35" t="str">
        <f t="shared" si="8"/>
        <v/>
      </c>
      <c r="U64" s="34" t="str">
        <f t="shared" si="9"/>
        <v/>
      </c>
      <c r="V64" s="35" t="str">
        <f t="shared" si="10"/>
        <v/>
      </c>
      <c r="W64" s="35" t="str">
        <f t="shared" si="11"/>
        <v/>
      </c>
      <c r="X64" s="34" t="str">
        <f t="shared" si="12"/>
        <v/>
      </c>
    </row>
    <row r="65" spans="1:24" x14ac:dyDescent="0.2">
      <c r="A65" s="30">
        <v>46251</v>
      </c>
      <c r="B65" s="31"/>
      <c r="C65" s="32"/>
      <c r="D65" s="31"/>
      <c r="E65" s="31"/>
      <c r="F65" s="31"/>
      <c r="G65" s="31"/>
      <c r="H65" s="31"/>
      <c r="I65" s="31"/>
      <c r="J65" s="31"/>
      <c r="K65" s="33" t="str">
        <f t="shared" si="0"/>
        <v/>
      </c>
      <c r="L65" s="33" t="str">
        <f>IF(COUNT($B$49:$B65)=0,"",AVERAGE($B$49:$B65))</f>
        <v/>
      </c>
      <c r="M65" s="33" t="str">
        <f t="shared" si="1"/>
        <v/>
      </c>
      <c r="N65" s="33" t="str">
        <f t="shared" si="2"/>
        <v/>
      </c>
      <c r="O65" s="33" t="str">
        <f t="shared" si="3"/>
        <v/>
      </c>
      <c r="P65" s="34" t="str">
        <f t="shared" si="4"/>
        <v/>
      </c>
      <c r="Q65" s="34" t="str">
        <f t="shared" si="5"/>
        <v/>
      </c>
      <c r="R65" s="35" t="str">
        <f t="shared" si="6"/>
        <v/>
      </c>
      <c r="S65" s="34" t="str">
        <f t="shared" si="7"/>
        <v/>
      </c>
      <c r="T65" s="35" t="str">
        <f t="shared" si="8"/>
        <v/>
      </c>
      <c r="U65" s="34" t="str">
        <f t="shared" si="9"/>
        <v/>
      </c>
      <c r="V65" s="35" t="str">
        <f t="shared" si="10"/>
        <v/>
      </c>
      <c r="W65" s="35" t="str">
        <f t="shared" si="11"/>
        <v/>
      </c>
      <c r="X65" s="34" t="str">
        <f t="shared" si="12"/>
        <v/>
      </c>
    </row>
    <row r="66" spans="1:24" x14ac:dyDescent="0.2">
      <c r="A66" s="30">
        <v>46252</v>
      </c>
      <c r="B66" s="31"/>
      <c r="C66" s="32"/>
      <c r="D66" s="31"/>
      <c r="E66" s="31"/>
      <c r="F66" s="31"/>
      <c r="G66" s="31"/>
      <c r="H66" s="31"/>
      <c r="I66" s="31"/>
      <c r="J66" s="31"/>
      <c r="K66" s="33" t="str">
        <f t="shared" si="0"/>
        <v/>
      </c>
      <c r="L66" s="33" t="str">
        <f>IF(COUNT($B$49:$B66)=0,"",AVERAGE($B$49:$B66))</f>
        <v/>
      </c>
      <c r="M66" s="33" t="str">
        <f t="shared" si="1"/>
        <v/>
      </c>
      <c r="N66" s="33" t="str">
        <f t="shared" si="2"/>
        <v/>
      </c>
      <c r="O66" s="33" t="str">
        <f t="shared" si="3"/>
        <v/>
      </c>
      <c r="P66" s="34" t="str">
        <f t="shared" si="4"/>
        <v/>
      </c>
      <c r="Q66" s="34" t="str">
        <f t="shared" si="5"/>
        <v/>
      </c>
      <c r="R66" s="35" t="str">
        <f t="shared" si="6"/>
        <v/>
      </c>
      <c r="S66" s="34" t="str">
        <f t="shared" si="7"/>
        <v/>
      </c>
      <c r="T66" s="35" t="str">
        <f t="shared" si="8"/>
        <v/>
      </c>
      <c r="U66" s="34" t="str">
        <f t="shared" si="9"/>
        <v/>
      </c>
      <c r="V66" s="35" t="str">
        <f t="shared" si="10"/>
        <v/>
      </c>
      <c r="W66" s="35" t="str">
        <f t="shared" si="11"/>
        <v/>
      </c>
      <c r="X66" s="34" t="str">
        <f t="shared" si="12"/>
        <v/>
      </c>
    </row>
    <row r="67" spans="1:24" x14ac:dyDescent="0.2">
      <c r="A67" s="30">
        <v>46253</v>
      </c>
      <c r="B67" s="31"/>
      <c r="C67" s="32"/>
      <c r="D67" s="31"/>
      <c r="E67" s="31"/>
      <c r="F67" s="31"/>
      <c r="G67" s="31"/>
      <c r="H67" s="31"/>
      <c r="I67" s="31"/>
      <c r="J67" s="31"/>
      <c r="K67" s="33" t="str">
        <f t="shared" si="0"/>
        <v/>
      </c>
      <c r="L67" s="33" t="str">
        <f>IF(COUNT($B$49:$B67)=0,"",AVERAGE($B$49:$B67))</f>
        <v/>
      </c>
      <c r="M67" s="33" t="str">
        <f t="shared" si="1"/>
        <v/>
      </c>
      <c r="N67" s="33" t="str">
        <f t="shared" si="2"/>
        <v/>
      </c>
      <c r="O67" s="33" t="str">
        <f t="shared" si="3"/>
        <v/>
      </c>
      <c r="P67" s="34" t="str">
        <f t="shared" si="4"/>
        <v/>
      </c>
      <c r="Q67" s="34" t="str">
        <f t="shared" si="5"/>
        <v/>
      </c>
      <c r="R67" s="35" t="str">
        <f t="shared" si="6"/>
        <v/>
      </c>
      <c r="S67" s="34" t="str">
        <f t="shared" si="7"/>
        <v/>
      </c>
      <c r="T67" s="35" t="str">
        <f t="shared" si="8"/>
        <v/>
      </c>
      <c r="U67" s="34" t="str">
        <f t="shared" si="9"/>
        <v/>
      </c>
      <c r="V67" s="35" t="str">
        <f t="shared" si="10"/>
        <v/>
      </c>
      <c r="W67" s="35" t="str">
        <f t="shared" si="11"/>
        <v/>
      </c>
      <c r="X67" s="34" t="str">
        <f t="shared" si="12"/>
        <v/>
      </c>
    </row>
    <row r="68" spans="1:24" x14ac:dyDescent="0.2">
      <c r="A68" s="30">
        <v>46254</v>
      </c>
      <c r="B68" s="31"/>
      <c r="C68" s="32"/>
      <c r="D68" s="31"/>
      <c r="E68" s="31"/>
      <c r="F68" s="31"/>
      <c r="G68" s="31"/>
      <c r="H68" s="31"/>
      <c r="I68" s="31"/>
      <c r="J68" s="31"/>
      <c r="K68" s="33" t="str">
        <f t="shared" si="0"/>
        <v/>
      </c>
      <c r="L68" s="33" t="str">
        <f>IF(COUNT($B$49:$B68)=0,"",AVERAGE($B$49:$B68))</f>
        <v/>
      </c>
      <c r="M68" s="33" t="str">
        <f t="shared" si="1"/>
        <v/>
      </c>
      <c r="N68" s="33" t="str">
        <f t="shared" si="2"/>
        <v/>
      </c>
      <c r="O68" s="33" t="str">
        <f t="shared" si="3"/>
        <v/>
      </c>
      <c r="P68" s="34" t="str">
        <f t="shared" si="4"/>
        <v/>
      </c>
      <c r="Q68" s="34" t="str">
        <f t="shared" si="5"/>
        <v/>
      </c>
      <c r="R68" s="35" t="str">
        <f t="shared" si="6"/>
        <v/>
      </c>
      <c r="S68" s="34" t="str">
        <f t="shared" si="7"/>
        <v/>
      </c>
      <c r="T68" s="35" t="str">
        <f t="shared" si="8"/>
        <v/>
      </c>
      <c r="U68" s="34" t="str">
        <f t="shared" si="9"/>
        <v/>
      </c>
      <c r="V68" s="35" t="str">
        <f t="shared" si="10"/>
        <v/>
      </c>
      <c r="W68" s="35" t="str">
        <f t="shared" si="11"/>
        <v/>
      </c>
      <c r="X68" s="34" t="str">
        <f t="shared" si="12"/>
        <v/>
      </c>
    </row>
    <row r="69" spans="1:24" x14ac:dyDescent="0.2">
      <c r="A69" s="30">
        <v>46255</v>
      </c>
      <c r="B69" s="31"/>
      <c r="C69" s="32"/>
      <c r="D69" s="31"/>
      <c r="E69" s="31"/>
      <c r="F69" s="31"/>
      <c r="G69" s="31"/>
      <c r="H69" s="31"/>
      <c r="I69" s="31"/>
      <c r="J69" s="31"/>
      <c r="K69" s="33" t="str">
        <f t="shared" si="0"/>
        <v/>
      </c>
      <c r="L69" s="33" t="str">
        <f>IF(COUNT($B$49:$B69)=0,"",AVERAGE($B$49:$B69))</f>
        <v/>
      </c>
      <c r="M69" s="33" t="str">
        <f t="shared" si="1"/>
        <v/>
      </c>
      <c r="N69" s="33" t="str">
        <f t="shared" si="2"/>
        <v/>
      </c>
      <c r="O69" s="33" t="str">
        <f t="shared" si="3"/>
        <v/>
      </c>
      <c r="P69" s="34" t="str">
        <f t="shared" si="4"/>
        <v/>
      </c>
      <c r="Q69" s="34" t="str">
        <f t="shared" si="5"/>
        <v/>
      </c>
      <c r="R69" s="35" t="str">
        <f t="shared" si="6"/>
        <v/>
      </c>
      <c r="S69" s="34" t="str">
        <f t="shared" si="7"/>
        <v/>
      </c>
      <c r="T69" s="35" t="str">
        <f t="shared" si="8"/>
        <v/>
      </c>
      <c r="U69" s="34" t="str">
        <f t="shared" si="9"/>
        <v/>
      </c>
      <c r="V69" s="35" t="str">
        <f t="shared" si="10"/>
        <v/>
      </c>
      <c r="W69" s="35" t="str">
        <f t="shared" si="11"/>
        <v/>
      </c>
      <c r="X69" s="34" t="str">
        <f t="shared" si="12"/>
        <v/>
      </c>
    </row>
    <row r="70" spans="1:24" x14ac:dyDescent="0.2">
      <c r="A70" s="30">
        <v>46256</v>
      </c>
      <c r="B70" s="31"/>
      <c r="C70" s="32"/>
      <c r="D70" s="31"/>
      <c r="E70" s="31"/>
      <c r="F70" s="31"/>
      <c r="G70" s="31"/>
      <c r="H70" s="31"/>
      <c r="I70" s="31"/>
      <c r="J70" s="31"/>
      <c r="K70" s="33" t="str">
        <f t="shared" si="0"/>
        <v/>
      </c>
      <c r="L70" s="33" t="str">
        <f>IF(COUNT($B$49:$B70)=0,"",AVERAGE($B$49:$B70))</f>
        <v/>
      </c>
      <c r="M70" s="33" t="str">
        <f t="shared" si="1"/>
        <v/>
      </c>
      <c r="N70" s="33" t="str">
        <f t="shared" si="2"/>
        <v/>
      </c>
      <c r="O70" s="33" t="str">
        <f t="shared" si="3"/>
        <v/>
      </c>
      <c r="P70" s="34" t="str">
        <f t="shared" si="4"/>
        <v/>
      </c>
      <c r="Q70" s="34" t="str">
        <f t="shared" si="5"/>
        <v/>
      </c>
      <c r="R70" s="35" t="str">
        <f t="shared" si="6"/>
        <v/>
      </c>
      <c r="S70" s="34" t="str">
        <f t="shared" si="7"/>
        <v/>
      </c>
      <c r="T70" s="35" t="str">
        <f t="shared" si="8"/>
        <v/>
      </c>
      <c r="U70" s="34" t="str">
        <f t="shared" si="9"/>
        <v/>
      </c>
      <c r="V70" s="35" t="str">
        <f t="shared" si="10"/>
        <v/>
      </c>
      <c r="W70" s="35" t="str">
        <f t="shared" si="11"/>
        <v/>
      </c>
      <c r="X70" s="34" t="str">
        <f t="shared" si="12"/>
        <v/>
      </c>
    </row>
    <row r="71" spans="1:24" x14ac:dyDescent="0.2">
      <c r="A71" s="30">
        <v>46257</v>
      </c>
      <c r="B71" s="31"/>
      <c r="C71" s="32"/>
      <c r="D71" s="31"/>
      <c r="E71" s="31"/>
      <c r="F71" s="31"/>
      <c r="G71" s="31"/>
      <c r="H71" s="31"/>
      <c r="I71" s="31"/>
      <c r="J71" s="31"/>
      <c r="K71" s="33" t="str">
        <f t="shared" si="0"/>
        <v/>
      </c>
      <c r="L71" s="33" t="str">
        <f>IF(COUNT($B$49:$B71)=0,"",AVERAGE($B$49:$B71))</f>
        <v/>
      </c>
      <c r="M71" s="33" t="str">
        <f t="shared" si="1"/>
        <v/>
      </c>
      <c r="N71" s="33" t="str">
        <f t="shared" si="2"/>
        <v/>
      </c>
      <c r="O71" s="33" t="str">
        <f t="shared" si="3"/>
        <v/>
      </c>
      <c r="P71" s="34" t="str">
        <f t="shared" si="4"/>
        <v/>
      </c>
      <c r="Q71" s="34" t="str">
        <f t="shared" si="5"/>
        <v/>
      </c>
      <c r="R71" s="35" t="str">
        <f t="shared" si="6"/>
        <v/>
      </c>
      <c r="S71" s="34" t="str">
        <f t="shared" si="7"/>
        <v/>
      </c>
      <c r="T71" s="35" t="str">
        <f t="shared" si="8"/>
        <v/>
      </c>
      <c r="U71" s="34" t="str">
        <f t="shared" si="9"/>
        <v/>
      </c>
      <c r="V71" s="35" t="str">
        <f t="shared" si="10"/>
        <v/>
      </c>
      <c r="W71" s="35" t="str">
        <f t="shared" si="11"/>
        <v/>
      </c>
      <c r="X71" s="34" t="str">
        <f t="shared" si="12"/>
        <v/>
      </c>
    </row>
    <row r="72" spans="1:24" x14ac:dyDescent="0.2">
      <c r="A72" s="30">
        <v>46258</v>
      </c>
      <c r="B72" s="31"/>
      <c r="C72" s="32"/>
      <c r="D72" s="31"/>
      <c r="E72" s="31"/>
      <c r="F72" s="31"/>
      <c r="G72" s="31"/>
      <c r="H72" s="31"/>
      <c r="I72" s="31"/>
      <c r="J72" s="31"/>
      <c r="K72" s="33" t="str">
        <f t="shared" si="0"/>
        <v/>
      </c>
      <c r="L72" s="33" t="str">
        <f>IF(COUNT($B$49:$B72)=0,"",AVERAGE($B$49:$B72))</f>
        <v/>
      </c>
      <c r="M72" s="33" t="str">
        <f t="shared" si="1"/>
        <v/>
      </c>
      <c r="N72" s="33" t="str">
        <f t="shared" si="2"/>
        <v/>
      </c>
      <c r="O72" s="33" t="str">
        <f t="shared" si="3"/>
        <v/>
      </c>
      <c r="P72" s="34" t="str">
        <f t="shared" si="4"/>
        <v/>
      </c>
      <c r="Q72" s="34" t="str">
        <f t="shared" si="5"/>
        <v/>
      </c>
      <c r="R72" s="35" t="str">
        <f t="shared" si="6"/>
        <v/>
      </c>
      <c r="S72" s="34" t="str">
        <f t="shared" si="7"/>
        <v/>
      </c>
      <c r="T72" s="35" t="str">
        <f t="shared" si="8"/>
        <v/>
      </c>
      <c r="U72" s="34" t="str">
        <f t="shared" si="9"/>
        <v/>
      </c>
      <c r="V72" s="35" t="str">
        <f t="shared" si="10"/>
        <v/>
      </c>
      <c r="W72" s="35" t="str">
        <f t="shared" si="11"/>
        <v/>
      </c>
      <c r="X72" s="34" t="str">
        <f t="shared" si="12"/>
        <v/>
      </c>
    </row>
    <row r="73" spans="1:24" x14ac:dyDescent="0.2">
      <c r="A73" s="30">
        <v>46259</v>
      </c>
      <c r="B73" s="31"/>
      <c r="C73" s="32"/>
      <c r="D73" s="31"/>
      <c r="E73" s="31"/>
      <c r="F73" s="31"/>
      <c r="G73" s="31"/>
      <c r="H73" s="31"/>
      <c r="I73" s="31"/>
      <c r="J73" s="31"/>
      <c r="K73" s="33" t="str">
        <f t="shared" si="0"/>
        <v/>
      </c>
      <c r="L73" s="33" t="str">
        <f>IF(COUNT($B$49:$B73)=0,"",AVERAGE($B$49:$B73))</f>
        <v/>
      </c>
      <c r="M73" s="33" t="str">
        <f t="shared" si="1"/>
        <v/>
      </c>
      <c r="N73" s="33" t="str">
        <f t="shared" si="2"/>
        <v/>
      </c>
      <c r="O73" s="33" t="str">
        <f t="shared" si="3"/>
        <v/>
      </c>
      <c r="P73" s="34" t="str">
        <f t="shared" si="4"/>
        <v/>
      </c>
      <c r="Q73" s="34" t="str">
        <f t="shared" si="5"/>
        <v/>
      </c>
      <c r="R73" s="35" t="str">
        <f t="shared" si="6"/>
        <v/>
      </c>
      <c r="S73" s="34" t="str">
        <f t="shared" si="7"/>
        <v/>
      </c>
      <c r="T73" s="35" t="str">
        <f t="shared" si="8"/>
        <v/>
      </c>
      <c r="U73" s="34" t="str">
        <f t="shared" si="9"/>
        <v/>
      </c>
      <c r="V73" s="35" t="str">
        <f t="shared" si="10"/>
        <v/>
      </c>
      <c r="W73" s="35" t="str">
        <f t="shared" si="11"/>
        <v/>
      </c>
      <c r="X73" s="34" t="str">
        <f t="shared" si="12"/>
        <v/>
      </c>
    </row>
    <row r="74" spans="1:24" x14ac:dyDescent="0.2">
      <c r="A74" s="30">
        <v>46260</v>
      </c>
      <c r="B74" s="31"/>
      <c r="C74" s="32"/>
      <c r="D74" s="31"/>
      <c r="E74" s="31"/>
      <c r="F74" s="31"/>
      <c r="G74" s="31"/>
      <c r="H74" s="31"/>
      <c r="I74" s="31"/>
      <c r="J74" s="31"/>
      <c r="K74" s="33" t="str">
        <f t="shared" si="0"/>
        <v/>
      </c>
      <c r="L74" s="33" t="str">
        <f>IF(COUNT($B$49:$B74)=0,"",AVERAGE($B$49:$B74))</f>
        <v/>
      </c>
      <c r="M74" s="33" t="str">
        <f t="shared" si="1"/>
        <v/>
      </c>
      <c r="N74" s="33" t="str">
        <f t="shared" si="2"/>
        <v/>
      </c>
      <c r="O74" s="33" t="str">
        <f t="shared" si="3"/>
        <v/>
      </c>
      <c r="P74" s="34" t="str">
        <f t="shared" si="4"/>
        <v/>
      </c>
      <c r="Q74" s="34" t="str">
        <f t="shared" si="5"/>
        <v/>
      </c>
      <c r="R74" s="35" t="str">
        <f t="shared" si="6"/>
        <v/>
      </c>
      <c r="S74" s="34" t="str">
        <f t="shared" si="7"/>
        <v/>
      </c>
      <c r="T74" s="35" t="str">
        <f t="shared" si="8"/>
        <v/>
      </c>
      <c r="U74" s="34" t="str">
        <f t="shared" si="9"/>
        <v/>
      </c>
      <c r="V74" s="35" t="str">
        <f t="shared" si="10"/>
        <v/>
      </c>
      <c r="W74" s="35" t="str">
        <f t="shared" si="11"/>
        <v/>
      </c>
      <c r="X74" s="34" t="str">
        <f t="shared" si="12"/>
        <v/>
      </c>
    </row>
    <row r="75" spans="1:24" x14ac:dyDescent="0.2">
      <c r="A75" s="30">
        <v>46261</v>
      </c>
      <c r="B75" s="31"/>
      <c r="C75" s="32"/>
      <c r="D75" s="31"/>
      <c r="E75" s="31"/>
      <c r="F75" s="31"/>
      <c r="G75" s="31"/>
      <c r="H75" s="31"/>
      <c r="I75" s="31"/>
      <c r="J75" s="31"/>
      <c r="K75" s="33" t="str">
        <f t="shared" si="0"/>
        <v/>
      </c>
      <c r="L75" s="33" t="str">
        <f>IF(COUNT($B$49:$B75)=0,"",AVERAGE($B$49:$B75))</f>
        <v/>
      </c>
      <c r="M75" s="33" t="str">
        <f t="shared" si="1"/>
        <v/>
      </c>
      <c r="N75" s="33" t="str">
        <f t="shared" si="2"/>
        <v/>
      </c>
      <c r="O75" s="33" t="str">
        <f t="shared" si="3"/>
        <v/>
      </c>
      <c r="P75" s="34" t="str">
        <f t="shared" si="4"/>
        <v/>
      </c>
      <c r="Q75" s="34" t="str">
        <f t="shared" si="5"/>
        <v/>
      </c>
      <c r="R75" s="35" t="str">
        <f t="shared" si="6"/>
        <v/>
      </c>
      <c r="S75" s="34" t="str">
        <f t="shared" si="7"/>
        <v/>
      </c>
      <c r="T75" s="35" t="str">
        <f t="shared" si="8"/>
        <v/>
      </c>
      <c r="U75" s="34" t="str">
        <f t="shared" si="9"/>
        <v/>
      </c>
      <c r="V75" s="35" t="str">
        <f t="shared" si="10"/>
        <v/>
      </c>
      <c r="W75" s="35" t="str">
        <f t="shared" si="11"/>
        <v/>
      </c>
      <c r="X75" s="34" t="str">
        <f t="shared" si="12"/>
        <v/>
      </c>
    </row>
    <row r="76" spans="1:24" x14ac:dyDescent="0.2">
      <c r="A76" s="30">
        <v>46262</v>
      </c>
      <c r="B76" s="31"/>
      <c r="C76" s="32"/>
      <c r="D76" s="31"/>
      <c r="E76" s="31"/>
      <c r="F76" s="31"/>
      <c r="G76" s="31"/>
      <c r="H76" s="31"/>
      <c r="I76" s="31"/>
      <c r="J76" s="31"/>
      <c r="K76" s="33" t="str">
        <f t="shared" si="0"/>
        <v/>
      </c>
      <c r="L76" s="33" t="str">
        <f>IF(COUNT($B$49:$B76)=0,"",AVERAGE($B$49:$B76))</f>
        <v/>
      </c>
      <c r="M76" s="33" t="str">
        <f t="shared" si="1"/>
        <v/>
      </c>
      <c r="N76" s="33" t="str">
        <f t="shared" si="2"/>
        <v/>
      </c>
      <c r="O76" s="33" t="str">
        <f t="shared" si="3"/>
        <v/>
      </c>
      <c r="P76" s="34" t="str">
        <f t="shared" si="4"/>
        <v/>
      </c>
      <c r="Q76" s="34" t="str">
        <f t="shared" si="5"/>
        <v/>
      </c>
      <c r="R76" s="35" t="str">
        <f t="shared" si="6"/>
        <v/>
      </c>
      <c r="S76" s="34" t="str">
        <f t="shared" si="7"/>
        <v/>
      </c>
      <c r="T76" s="35" t="str">
        <f t="shared" si="8"/>
        <v/>
      </c>
      <c r="U76" s="34" t="str">
        <f t="shared" si="9"/>
        <v/>
      </c>
      <c r="V76" s="35" t="str">
        <f t="shared" si="10"/>
        <v/>
      </c>
      <c r="W76" s="35" t="str">
        <f t="shared" si="11"/>
        <v/>
      </c>
      <c r="X76" s="34" t="str">
        <f t="shared" si="12"/>
        <v/>
      </c>
    </row>
    <row r="77" spans="1:24" x14ac:dyDescent="0.2">
      <c r="A77" s="30">
        <v>46263</v>
      </c>
      <c r="B77" s="31"/>
      <c r="C77" s="32"/>
      <c r="D77" s="31"/>
      <c r="E77" s="31"/>
      <c r="F77" s="31"/>
      <c r="G77" s="31"/>
      <c r="H77" s="31"/>
      <c r="I77" s="31"/>
      <c r="J77" s="31"/>
      <c r="K77" s="33" t="str">
        <f t="shared" si="0"/>
        <v/>
      </c>
      <c r="L77" s="33" t="str">
        <f>IF(COUNT($B$49:$B77)=0,"",AVERAGE($B$49:$B77))</f>
        <v/>
      </c>
      <c r="M77" s="33" t="str">
        <f t="shared" si="1"/>
        <v/>
      </c>
      <c r="N77" s="33" t="str">
        <f t="shared" si="2"/>
        <v/>
      </c>
      <c r="O77" s="33" t="str">
        <f t="shared" si="3"/>
        <v/>
      </c>
      <c r="P77" s="34" t="str">
        <f t="shared" si="4"/>
        <v/>
      </c>
      <c r="Q77" s="34" t="str">
        <f t="shared" si="5"/>
        <v/>
      </c>
      <c r="R77" s="35" t="str">
        <f t="shared" si="6"/>
        <v/>
      </c>
      <c r="S77" s="34" t="str">
        <f t="shared" si="7"/>
        <v/>
      </c>
      <c r="T77" s="35" t="str">
        <f t="shared" si="8"/>
        <v/>
      </c>
      <c r="U77" s="34" t="str">
        <f t="shared" si="9"/>
        <v/>
      </c>
      <c r="V77" s="35" t="str">
        <f t="shared" si="10"/>
        <v/>
      </c>
      <c r="W77" s="35" t="str">
        <f t="shared" si="11"/>
        <v/>
      </c>
      <c r="X77" s="34" t="str">
        <f t="shared" si="12"/>
        <v/>
      </c>
    </row>
    <row r="78" spans="1:24" x14ac:dyDescent="0.2">
      <c r="A78" s="30">
        <v>46264</v>
      </c>
      <c r="B78" s="31"/>
      <c r="C78" s="32"/>
      <c r="D78" s="31"/>
      <c r="E78" s="31"/>
      <c r="F78" s="31"/>
      <c r="G78" s="31"/>
      <c r="H78" s="31"/>
      <c r="I78" s="31"/>
      <c r="J78" s="31"/>
      <c r="K78" s="33" t="str">
        <f t="shared" si="0"/>
        <v/>
      </c>
      <c r="L78" s="33" t="str">
        <f>IF(COUNT($B$49:$B78)=0,"",AVERAGE($B$49:$B78))</f>
        <v/>
      </c>
      <c r="M78" s="33" t="str">
        <f t="shared" si="1"/>
        <v/>
      </c>
      <c r="N78" s="33" t="str">
        <f t="shared" si="2"/>
        <v/>
      </c>
      <c r="O78" s="33" t="str">
        <f t="shared" si="3"/>
        <v/>
      </c>
      <c r="P78" s="34" t="str">
        <f t="shared" si="4"/>
        <v/>
      </c>
      <c r="Q78" s="34" t="str">
        <f t="shared" si="5"/>
        <v/>
      </c>
      <c r="R78" s="35" t="str">
        <f t="shared" si="6"/>
        <v/>
      </c>
      <c r="S78" s="34" t="str">
        <f t="shared" si="7"/>
        <v/>
      </c>
      <c r="T78" s="35" t="str">
        <f t="shared" si="8"/>
        <v/>
      </c>
      <c r="U78" s="34" t="str">
        <f t="shared" si="9"/>
        <v/>
      </c>
      <c r="V78" s="35" t="str">
        <f t="shared" si="10"/>
        <v/>
      </c>
      <c r="W78" s="35" t="str">
        <f t="shared" si="11"/>
        <v/>
      </c>
      <c r="X78" s="34" t="str">
        <f t="shared" si="12"/>
        <v/>
      </c>
    </row>
    <row r="79" spans="1:24" x14ac:dyDescent="0.2">
      <c r="A79" s="30">
        <v>46265</v>
      </c>
      <c r="B79" s="31"/>
      <c r="C79" s="32"/>
      <c r="D79" s="31"/>
      <c r="E79" s="31"/>
      <c r="F79" s="31"/>
      <c r="G79" s="31"/>
      <c r="H79" s="31"/>
      <c r="I79" s="31"/>
      <c r="J79" s="31"/>
      <c r="K79" s="33" t="str">
        <f t="shared" si="0"/>
        <v/>
      </c>
      <c r="L79" s="33" t="str">
        <f>IF(COUNT($B$49:$B79)=0,"",AVERAGE($B$49:$B79))</f>
        <v/>
      </c>
      <c r="M79" s="33" t="str">
        <f t="shared" si="1"/>
        <v/>
      </c>
      <c r="N79" s="33" t="str">
        <f t="shared" si="2"/>
        <v/>
      </c>
      <c r="O79" s="33" t="str">
        <f t="shared" si="3"/>
        <v/>
      </c>
      <c r="P79" s="34" t="str">
        <f t="shared" si="4"/>
        <v/>
      </c>
      <c r="Q79" s="34" t="str">
        <f t="shared" si="5"/>
        <v/>
      </c>
      <c r="R79" s="35" t="str">
        <f t="shared" si="6"/>
        <v/>
      </c>
      <c r="S79" s="34" t="str">
        <f t="shared" si="7"/>
        <v/>
      </c>
      <c r="T79" s="35" t="str">
        <f t="shared" si="8"/>
        <v/>
      </c>
      <c r="U79" s="34" t="str">
        <f t="shared" si="9"/>
        <v/>
      </c>
      <c r="V79" s="35" t="str">
        <f t="shared" si="10"/>
        <v/>
      </c>
      <c r="W79" s="35" t="str">
        <f t="shared" si="11"/>
        <v/>
      </c>
      <c r="X79" s="34" t="str">
        <f t="shared" si="12"/>
        <v/>
      </c>
    </row>
    <row r="80" spans="1:24" x14ac:dyDescent="0.2">
      <c r="A80" s="12" t="s">
        <v>84</v>
      </c>
    </row>
    <row r="82" spans="1:15" ht="19" customHeight="1" x14ac:dyDescent="0.2">
      <c r="A82" s="80" t="s">
        <v>85</v>
      </c>
      <c r="B82" s="80"/>
      <c r="C82" s="80"/>
      <c r="D82" s="80"/>
      <c r="E82" s="80"/>
      <c r="F82" s="80"/>
      <c r="G82" s="80"/>
      <c r="H82" s="80"/>
      <c r="I82" s="80"/>
      <c r="J82" s="80"/>
      <c r="K82" s="80"/>
      <c r="L82" s="80"/>
      <c r="M82" s="80"/>
      <c r="N82" s="80"/>
      <c r="O82" s="80"/>
    </row>
    <row r="83" spans="1:15" x14ac:dyDescent="0.2">
      <c r="A83" s="7" t="s">
        <v>86</v>
      </c>
      <c r="C83" s="36">
        <f>COUNT($B$49:$B$79)</f>
        <v>0</v>
      </c>
      <c r="E83" s="75" t="s">
        <v>87</v>
      </c>
      <c r="F83" s="75"/>
      <c r="G83" s="75"/>
      <c r="H83" s="75"/>
      <c r="I83" s="75"/>
      <c r="J83" s="75"/>
      <c r="K83" s="75"/>
      <c r="L83" s="75"/>
      <c r="M83" s="75"/>
      <c r="N83" s="75"/>
      <c r="O83" s="75"/>
    </row>
    <row r="84" spans="1:15" x14ac:dyDescent="0.2">
      <c r="A84" s="8" t="s">
        <v>88</v>
      </c>
      <c r="C84" s="37">
        <f>SUM($B$49:$B$79)</f>
        <v>0</v>
      </c>
      <c r="E84" s="75" t="s">
        <v>89</v>
      </c>
      <c r="F84" s="75"/>
      <c r="G84" s="75"/>
      <c r="H84" s="75"/>
      <c r="I84" s="75"/>
      <c r="J84" s="75"/>
      <c r="K84" s="75"/>
      <c r="L84" s="75"/>
      <c r="M84" s="75"/>
      <c r="N84" s="75"/>
      <c r="O84" s="75"/>
    </row>
    <row r="85" spans="1:15" x14ac:dyDescent="0.2">
      <c r="A85" s="8" t="s">
        <v>90</v>
      </c>
      <c r="C85" s="37" t="str">
        <f>IF($C$83=0,"",$C$84/$C$83)</f>
        <v/>
      </c>
      <c r="E85" s="75" t="s">
        <v>91</v>
      </c>
      <c r="F85" s="75"/>
      <c r="G85" s="75"/>
      <c r="H85" s="75"/>
      <c r="I85" s="75"/>
      <c r="J85" s="75"/>
      <c r="K85" s="75"/>
      <c r="L85" s="75"/>
      <c r="M85" s="75"/>
      <c r="N85" s="75"/>
      <c r="O85" s="75"/>
    </row>
    <row r="86" spans="1:15" x14ac:dyDescent="0.2">
      <c r="A86" s="8" t="s">
        <v>92</v>
      </c>
      <c r="C86" s="38">
        <f>$C$13-$C$83</f>
        <v>31</v>
      </c>
      <c r="E86" s="76"/>
      <c r="F86" s="76"/>
      <c r="G86" s="76"/>
      <c r="H86" s="76"/>
      <c r="I86" s="76"/>
      <c r="J86" s="76"/>
      <c r="K86" s="76"/>
      <c r="L86" s="76"/>
      <c r="M86" s="76"/>
      <c r="N86" s="76"/>
      <c r="O86" s="76"/>
    </row>
    <row r="87" spans="1:15" x14ac:dyDescent="0.2">
      <c r="A87" s="8" t="s">
        <v>93</v>
      </c>
      <c r="C87" s="37" t="str">
        <f>IFERROR(AVERAGE($P$49:$P$79),"")</f>
        <v/>
      </c>
      <c r="E87" s="75" t="s">
        <v>94</v>
      </c>
      <c r="F87" s="75"/>
      <c r="G87" s="75"/>
      <c r="H87" s="75"/>
      <c r="I87" s="75"/>
      <c r="J87" s="75"/>
      <c r="K87" s="75"/>
      <c r="L87" s="75"/>
      <c r="M87" s="75"/>
      <c r="N87" s="75"/>
      <c r="O87" s="75"/>
    </row>
    <row r="88" spans="1:15" x14ac:dyDescent="0.2">
      <c r="A88" s="8" t="s">
        <v>95</v>
      </c>
      <c r="C88" s="38">
        <f>COUNT($K$49:$K$79)</f>
        <v>0</v>
      </c>
      <c r="E88" s="75" t="s">
        <v>96</v>
      </c>
      <c r="F88" s="75"/>
      <c r="G88" s="75"/>
      <c r="H88" s="75"/>
      <c r="I88" s="75"/>
      <c r="J88" s="75"/>
      <c r="K88" s="75"/>
      <c r="L88" s="75"/>
      <c r="M88" s="75"/>
      <c r="N88" s="75"/>
      <c r="O88" s="75"/>
    </row>
    <row r="89" spans="1:15" x14ac:dyDescent="0.2">
      <c r="A89" s="7" t="s">
        <v>97</v>
      </c>
      <c r="C89" s="39" t="str">
        <f>IF($C$88=$C$13,SUM($K$49:$K$79)/$C$13,"")</f>
        <v/>
      </c>
      <c r="E89" s="75" t="s">
        <v>98</v>
      </c>
      <c r="F89" s="75"/>
      <c r="G89" s="75"/>
      <c r="H89" s="75"/>
      <c r="I89" s="75"/>
      <c r="J89" s="75"/>
      <c r="K89" s="75"/>
      <c r="L89" s="75"/>
      <c r="M89" s="75"/>
      <c r="N89" s="75"/>
      <c r="O89" s="75"/>
    </row>
    <row r="90" spans="1:15" x14ac:dyDescent="0.2">
      <c r="A90" s="8" t="s">
        <v>99</v>
      </c>
      <c r="C90" s="40">
        <f>IFERROR(INDEX($C$30:$C$36,MATCH($C$83,$A$30:$A$36,1)),INDEX($C$30:$C$36,1))</f>
        <v>5.6899999999999999E-2</v>
      </c>
      <c r="E90" s="75" t="s">
        <v>100</v>
      </c>
      <c r="F90" s="75"/>
      <c r="G90" s="75"/>
      <c r="H90" s="75"/>
      <c r="I90" s="75"/>
      <c r="J90" s="75"/>
      <c r="K90" s="75"/>
      <c r="L90" s="75"/>
      <c r="M90" s="75"/>
      <c r="N90" s="75"/>
      <c r="O90" s="75"/>
    </row>
    <row r="91" spans="1:15" x14ac:dyDescent="0.2">
      <c r="A91" s="8" t="s">
        <v>101</v>
      </c>
      <c r="C91" s="40" t="str">
        <f>IFERROR(AVERAGE($X$49:$X$79),"")</f>
        <v/>
      </c>
      <c r="E91" s="76"/>
      <c r="F91" s="76"/>
      <c r="G91" s="76"/>
      <c r="H91" s="76"/>
      <c r="I91" s="76"/>
      <c r="J91" s="76"/>
      <c r="K91" s="76"/>
      <c r="L91" s="76"/>
      <c r="M91" s="76"/>
      <c r="N91" s="76"/>
      <c r="O91" s="76"/>
    </row>
    <row r="92" spans="1:15" x14ac:dyDescent="0.2">
      <c r="A92" s="8" t="s">
        <v>102</v>
      </c>
      <c r="C92" s="40">
        <f>IFERROR($C$43*$C$91*$C$86/$C$13,0)</f>
        <v>0</v>
      </c>
      <c r="E92" s="75" t="s">
        <v>103</v>
      </c>
      <c r="F92" s="75"/>
      <c r="G92" s="75"/>
      <c r="H92" s="75"/>
      <c r="I92" s="75"/>
      <c r="J92" s="75"/>
      <c r="K92" s="75"/>
      <c r="L92" s="75"/>
      <c r="M92" s="75"/>
      <c r="N92" s="75"/>
      <c r="O92" s="75"/>
    </row>
    <row r="93" spans="1:15" x14ac:dyDescent="0.2">
      <c r="A93" s="8" t="s">
        <v>104</v>
      </c>
      <c r="C93" s="40">
        <f>IFERROR(SQRT($C$90^2+$C$92^2),"")</f>
        <v>5.6899999999999999E-2</v>
      </c>
      <c r="E93" s="75" t="s">
        <v>105</v>
      </c>
      <c r="F93" s="75"/>
      <c r="G93" s="75"/>
      <c r="H93" s="75"/>
      <c r="I93" s="75"/>
      <c r="J93" s="75"/>
      <c r="K93" s="75"/>
      <c r="L93" s="75"/>
      <c r="M93" s="75"/>
      <c r="N93" s="75"/>
      <c r="O93" s="75"/>
    </row>
    <row r="94" spans="1:15" x14ac:dyDescent="0.2">
      <c r="A94" s="7" t="s">
        <v>106</v>
      </c>
      <c r="C94" s="39" t="str">
        <f>IF($C$89="","",$C$22+$C$23*$C$89)</f>
        <v/>
      </c>
      <c r="E94" s="75" t="s">
        <v>107</v>
      </c>
      <c r="F94" s="75"/>
      <c r="G94" s="75"/>
      <c r="H94" s="75"/>
      <c r="I94" s="75"/>
      <c r="J94" s="75"/>
      <c r="K94" s="75"/>
      <c r="L94" s="75"/>
      <c r="M94" s="75"/>
      <c r="N94" s="75"/>
      <c r="O94" s="75"/>
    </row>
    <row r="95" spans="1:15" x14ac:dyDescent="0.2">
      <c r="A95" s="8" t="s">
        <v>108</v>
      </c>
      <c r="C95" s="40" t="str">
        <f>IF($C$89="","",SQRT(($C$23*$C$93)^2+$C$24^2))</f>
        <v/>
      </c>
      <c r="E95" s="75" t="s">
        <v>109</v>
      </c>
      <c r="F95" s="75"/>
      <c r="G95" s="75"/>
      <c r="H95" s="75"/>
      <c r="I95" s="75"/>
      <c r="J95" s="75"/>
      <c r="K95" s="75"/>
      <c r="L95" s="75"/>
      <c r="M95" s="75"/>
      <c r="N95" s="75"/>
      <c r="O95" s="75"/>
    </row>
    <row r="96" spans="1:15" x14ac:dyDescent="0.2">
      <c r="A96" s="8" t="s">
        <v>110</v>
      </c>
      <c r="C96" s="37" t="str">
        <f>IF($C$94="","",($C$17-$C$94)/$C$95)</f>
        <v/>
      </c>
      <c r="E96" s="75" t="s">
        <v>111</v>
      </c>
      <c r="F96" s="75"/>
      <c r="G96" s="75"/>
      <c r="H96" s="75"/>
      <c r="I96" s="75"/>
      <c r="J96" s="75"/>
      <c r="K96" s="75"/>
      <c r="L96" s="75"/>
      <c r="M96" s="75"/>
      <c r="N96" s="75"/>
      <c r="O96" s="75"/>
    </row>
    <row r="97" spans="1:15" x14ac:dyDescent="0.2">
      <c r="A97" s="8" t="s">
        <v>112</v>
      </c>
      <c r="C97" s="41" t="str">
        <f>IF($C$96="","",1-NORMSDIST($C$96))</f>
        <v/>
      </c>
      <c r="E97" s="75" t="s">
        <v>113</v>
      </c>
      <c r="F97" s="75"/>
      <c r="G97" s="75"/>
      <c r="H97" s="75"/>
      <c r="I97" s="75"/>
      <c r="J97" s="75"/>
      <c r="K97" s="75"/>
      <c r="L97" s="75"/>
      <c r="M97" s="75"/>
      <c r="N97" s="75"/>
      <c r="O97" s="75"/>
    </row>
    <row r="98" spans="1:15" x14ac:dyDescent="0.2">
      <c r="A98" s="8" t="s">
        <v>114</v>
      </c>
      <c r="C98" s="37" t="str">
        <f>IF(OR($C$83=0,$C$83&gt;=$C$13),"",($C$13*$C$26-$C$84)/($C$13-$C$83))</f>
        <v/>
      </c>
      <c r="E98" s="75" t="s">
        <v>115</v>
      </c>
      <c r="F98" s="75"/>
      <c r="G98" s="75"/>
      <c r="H98" s="75"/>
      <c r="I98" s="75"/>
      <c r="J98" s="75"/>
      <c r="K98" s="75"/>
      <c r="L98" s="75"/>
      <c r="M98" s="75"/>
      <c r="N98" s="75"/>
      <c r="O98" s="75"/>
    </row>
    <row r="99" spans="1:15" x14ac:dyDescent="0.2">
      <c r="A99" s="8" t="s">
        <v>116</v>
      </c>
      <c r="C99" s="41" t="str">
        <f>IF($C$94="","",NORMSDIST(($C$17-$C$94)/$C$95)-NORMSDIST(($C$18-$C$94)/$C$95))</f>
        <v/>
      </c>
      <c r="E99" s="75" t="s">
        <v>117</v>
      </c>
      <c r="F99" s="75"/>
      <c r="G99" s="75"/>
      <c r="H99" s="75"/>
      <c r="I99" s="75"/>
      <c r="J99" s="75"/>
      <c r="K99" s="75"/>
      <c r="L99" s="75"/>
      <c r="M99" s="75"/>
      <c r="N99" s="75"/>
      <c r="O99" s="75"/>
    </row>
    <row r="100" spans="1:15" x14ac:dyDescent="0.2">
      <c r="A100" s="7" t="s">
        <v>118</v>
      </c>
      <c r="C100" s="42" t="str">
        <f>IFERROR(ENS_members_raw!$E$64,"")</f>
        <v/>
      </c>
      <c r="E100" s="75" t="s">
        <v>119</v>
      </c>
      <c r="F100" s="75"/>
      <c r="G100" s="75"/>
      <c r="H100" s="75"/>
      <c r="I100" s="75"/>
      <c r="J100" s="75"/>
      <c r="K100" s="75"/>
      <c r="L100" s="75"/>
      <c r="M100" s="75"/>
      <c r="N100" s="75"/>
      <c r="O100" s="75"/>
    </row>
    <row r="101" spans="1:15" x14ac:dyDescent="0.2">
      <c r="A101" s="8" t="s">
        <v>120</v>
      </c>
      <c r="C101" s="41" t="str">
        <f>IFERROR(ENS_members_raw!$H$64,"")</f>
        <v/>
      </c>
      <c r="E101" s="75" t="s">
        <v>121</v>
      </c>
      <c r="F101" s="75"/>
      <c r="G101" s="75"/>
      <c r="H101" s="75"/>
      <c r="I101" s="75"/>
      <c r="J101" s="75"/>
      <c r="K101" s="75"/>
      <c r="L101" s="75"/>
      <c r="M101" s="75"/>
      <c r="N101" s="75"/>
      <c r="O101" s="75"/>
    </row>
    <row r="103" spans="1:15" ht="19" customHeight="1" x14ac:dyDescent="0.2">
      <c r="A103" s="80" t="s">
        <v>122</v>
      </c>
      <c r="B103" s="80"/>
      <c r="C103" s="80"/>
      <c r="D103" s="80"/>
      <c r="E103" s="80"/>
      <c r="F103" s="80"/>
      <c r="G103" s="80"/>
      <c r="H103" s="80"/>
      <c r="I103" s="80"/>
      <c r="J103" s="80"/>
      <c r="K103" s="80"/>
      <c r="L103" s="80"/>
      <c r="M103" s="80"/>
      <c r="N103" s="80"/>
      <c r="O103" s="80"/>
    </row>
    <row r="104" spans="1:15" x14ac:dyDescent="0.2">
      <c r="A104" s="8" t="s">
        <v>123</v>
      </c>
      <c r="C104" s="43"/>
      <c r="E104" s="75" t="s">
        <v>124</v>
      </c>
      <c r="F104" s="75"/>
      <c r="G104" s="75"/>
      <c r="H104" s="75"/>
      <c r="I104" s="75"/>
      <c r="J104" s="75"/>
      <c r="K104" s="75"/>
      <c r="L104" s="75"/>
      <c r="M104" s="75"/>
      <c r="N104" s="75"/>
      <c r="O104" s="75"/>
    </row>
    <row r="105" spans="1:15" x14ac:dyDescent="0.2">
      <c r="A105" s="8" t="s">
        <v>125</v>
      </c>
      <c r="C105" s="43"/>
      <c r="E105" s="75" t="s">
        <v>126</v>
      </c>
      <c r="F105" s="75"/>
      <c r="G105" s="75"/>
      <c r="H105" s="75"/>
      <c r="I105" s="75"/>
      <c r="J105" s="75"/>
      <c r="K105" s="75"/>
      <c r="L105" s="75"/>
      <c r="M105" s="75"/>
      <c r="N105" s="75"/>
      <c r="O105" s="75"/>
    </row>
    <row r="106" spans="1:15" x14ac:dyDescent="0.2">
      <c r="A106" s="8" t="s">
        <v>127</v>
      </c>
      <c r="C106" s="43"/>
      <c r="E106" s="76"/>
      <c r="F106" s="76"/>
      <c r="G106" s="76"/>
      <c r="H106" s="76"/>
      <c r="I106" s="76"/>
      <c r="J106" s="76"/>
      <c r="K106" s="76"/>
      <c r="L106" s="76"/>
      <c r="M106" s="76"/>
      <c r="N106" s="76"/>
      <c r="O106" s="76"/>
    </row>
    <row r="107" spans="1:15" x14ac:dyDescent="0.2">
      <c r="A107" s="8" t="s">
        <v>128</v>
      </c>
      <c r="C107" s="43"/>
      <c r="E107" s="75" t="s">
        <v>129</v>
      </c>
      <c r="F107" s="75"/>
      <c r="G107" s="75"/>
      <c r="H107" s="75"/>
      <c r="I107" s="75"/>
      <c r="J107" s="75"/>
      <c r="K107" s="75"/>
      <c r="L107" s="75"/>
      <c r="M107" s="75"/>
      <c r="N107" s="75"/>
      <c r="O107" s="75"/>
    </row>
    <row r="108" spans="1:15" x14ac:dyDescent="0.2">
      <c r="A108" s="8" t="s">
        <v>130</v>
      </c>
      <c r="C108" s="44"/>
      <c r="E108" s="75" t="s">
        <v>131</v>
      </c>
      <c r="F108" s="75"/>
      <c r="G108" s="75"/>
      <c r="H108" s="75"/>
      <c r="I108" s="75"/>
      <c r="J108" s="75"/>
      <c r="K108" s="75"/>
      <c r="L108" s="75"/>
      <c r="M108" s="75"/>
      <c r="N108" s="75"/>
      <c r="O108" s="75"/>
    </row>
    <row r="109" spans="1:15" x14ac:dyDescent="0.2">
      <c r="A109" s="8" t="s">
        <v>132</v>
      </c>
      <c r="C109" s="45"/>
      <c r="E109" s="75" t="s">
        <v>133</v>
      </c>
      <c r="F109" s="75"/>
      <c r="G109" s="75"/>
      <c r="H109" s="75"/>
      <c r="I109" s="75"/>
      <c r="J109" s="75"/>
      <c r="K109" s="75"/>
      <c r="L109" s="75"/>
      <c r="M109" s="75"/>
      <c r="N109" s="75"/>
      <c r="O109" s="75"/>
    </row>
    <row r="110" spans="1:15" x14ac:dyDescent="0.2">
      <c r="A110" s="8" t="s">
        <v>134</v>
      </c>
      <c r="C110" s="44"/>
      <c r="E110" s="76"/>
      <c r="F110" s="76"/>
      <c r="G110" s="76"/>
      <c r="H110" s="76"/>
      <c r="I110" s="76"/>
      <c r="J110" s="76"/>
      <c r="K110" s="76"/>
      <c r="L110" s="76"/>
      <c r="M110" s="76"/>
      <c r="N110" s="76"/>
      <c r="O110" s="76"/>
    </row>
    <row r="111" spans="1:15" x14ac:dyDescent="0.2">
      <c r="A111" s="8" t="s">
        <v>135</v>
      </c>
      <c r="C111" s="44"/>
      <c r="E111" s="76"/>
      <c r="F111" s="76"/>
      <c r="G111" s="76"/>
      <c r="H111" s="76"/>
      <c r="I111" s="76"/>
      <c r="J111" s="76"/>
      <c r="K111" s="76"/>
      <c r="L111" s="76"/>
      <c r="M111" s="76"/>
      <c r="N111" s="76"/>
      <c r="O111" s="76"/>
    </row>
    <row r="113" spans="1:15" x14ac:dyDescent="0.2">
      <c r="A113" s="8" t="s">
        <v>136</v>
      </c>
      <c r="C113" s="41" t="str">
        <f>IF($C$105="","",$C$105/100)</f>
        <v/>
      </c>
      <c r="E113" s="75" t="s">
        <v>137</v>
      </c>
      <c r="F113" s="75"/>
      <c r="G113" s="75"/>
      <c r="H113" s="75"/>
      <c r="I113" s="75"/>
      <c r="J113" s="75"/>
      <c r="K113" s="75"/>
      <c r="L113" s="75"/>
      <c r="M113" s="75"/>
      <c r="N113" s="75"/>
      <c r="O113" s="75"/>
    </row>
    <row r="114" spans="1:15" x14ac:dyDescent="0.2">
      <c r="A114" s="8" t="s">
        <v>138</v>
      </c>
      <c r="C114" s="41" t="str">
        <f>IF(OR($C$100="",$C$97=""),"",MIN($C$100,$C$97))</f>
        <v/>
      </c>
      <c r="E114" s="75" t="s">
        <v>139</v>
      </c>
      <c r="F114" s="75"/>
      <c r="G114" s="75"/>
      <c r="H114" s="75"/>
      <c r="I114" s="75"/>
      <c r="J114" s="75"/>
      <c r="K114" s="75"/>
      <c r="L114" s="75"/>
      <c r="M114" s="75"/>
      <c r="N114" s="75"/>
      <c r="O114" s="75"/>
    </row>
    <row r="115" spans="1:15" x14ac:dyDescent="0.2">
      <c r="A115" s="8" t="s">
        <v>140</v>
      </c>
      <c r="C115" s="41" t="str">
        <f>IF(OR($C$100="",$C$97=""),"",MAX($C$100,$C$97))</f>
        <v/>
      </c>
      <c r="E115" s="75" t="s">
        <v>141</v>
      </c>
      <c r="F115" s="75"/>
      <c r="G115" s="75"/>
      <c r="H115" s="75"/>
      <c r="I115" s="75"/>
      <c r="J115" s="75"/>
      <c r="K115" s="75"/>
      <c r="L115" s="75"/>
      <c r="M115" s="75"/>
      <c r="N115" s="75"/>
      <c r="O115" s="75"/>
    </row>
    <row r="116" spans="1:15" x14ac:dyDescent="0.2">
      <c r="A116" s="8" t="s">
        <v>142</v>
      </c>
      <c r="C116" s="46" t="str">
        <f>IF($C$114="","",$C$114*100)</f>
        <v/>
      </c>
      <c r="E116" s="76"/>
      <c r="F116" s="76"/>
      <c r="G116" s="76"/>
      <c r="H116" s="76"/>
      <c r="I116" s="76"/>
      <c r="J116" s="76"/>
      <c r="K116" s="76"/>
      <c r="L116" s="76"/>
      <c r="M116" s="76"/>
      <c r="N116" s="76"/>
      <c r="O116" s="76"/>
    </row>
    <row r="117" spans="1:15" x14ac:dyDescent="0.2">
      <c r="A117" s="8" t="s">
        <v>143</v>
      </c>
      <c r="C117" s="46" t="str">
        <f>IF($C$115="","",(1-$C$115)*100)</f>
        <v/>
      </c>
      <c r="E117" s="76"/>
      <c r="F117" s="76"/>
      <c r="G117" s="76"/>
      <c r="H117" s="76"/>
      <c r="I117" s="76"/>
      <c r="J117" s="76"/>
      <c r="K117" s="76"/>
      <c r="L117" s="76"/>
      <c r="M117" s="76"/>
      <c r="N117" s="76"/>
      <c r="O117" s="76"/>
    </row>
    <row r="118" spans="1:15" x14ac:dyDescent="0.2">
      <c r="A118" s="7" t="s">
        <v>144</v>
      </c>
      <c r="C118" s="47" t="str">
        <f>IF(OR($C$116="",$C$105=""),"",$C$116-$C$105)</f>
        <v/>
      </c>
      <c r="E118" s="75" t="s">
        <v>145</v>
      </c>
      <c r="F118" s="75"/>
      <c r="G118" s="75"/>
      <c r="H118" s="75"/>
      <c r="I118" s="75"/>
      <c r="J118" s="75"/>
      <c r="K118" s="75"/>
      <c r="L118" s="75"/>
      <c r="M118" s="75"/>
      <c r="N118" s="75"/>
      <c r="O118" s="75"/>
    </row>
    <row r="119" spans="1:15" x14ac:dyDescent="0.2">
      <c r="A119" s="7" t="s">
        <v>146</v>
      </c>
      <c r="C119" s="47" t="str">
        <f>IF(OR($C$117="",$C$107=""),"",$C$117-$C$107)</f>
        <v/>
      </c>
      <c r="E119" s="75" t="s">
        <v>145</v>
      </c>
      <c r="F119" s="75"/>
      <c r="G119" s="75"/>
      <c r="H119" s="75"/>
      <c r="I119" s="75"/>
      <c r="J119" s="75"/>
      <c r="K119" s="75"/>
      <c r="L119" s="75"/>
      <c r="M119" s="75"/>
      <c r="N119" s="75"/>
      <c r="O119" s="75"/>
    </row>
    <row r="120" spans="1:15" x14ac:dyDescent="0.2">
      <c r="A120" s="8" t="s">
        <v>147</v>
      </c>
      <c r="C120" s="48" t="str">
        <f>IF(OR($C$110="",$C$105=""),"",CEILING(0.07*$C$110*($C$105/100)*(1-$C$105/100),1))</f>
        <v/>
      </c>
      <c r="E120" s="75" t="s">
        <v>148</v>
      </c>
      <c r="F120" s="75"/>
      <c r="G120" s="75"/>
      <c r="H120" s="75"/>
      <c r="I120" s="75"/>
      <c r="J120" s="75"/>
      <c r="K120" s="75"/>
      <c r="L120" s="75"/>
      <c r="M120" s="75"/>
      <c r="N120" s="75"/>
      <c r="O120" s="75"/>
    </row>
    <row r="121" spans="1:15" x14ac:dyDescent="0.2">
      <c r="A121" s="8" t="s">
        <v>149</v>
      </c>
      <c r="C121" s="48" t="str">
        <f>IF(OR($C$110="",$C$107=""),"",CEILING(0.07*$C$110*($C$107/100)*(1-$C$107/100),1))</f>
        <v/>
      </c>
      <c r="E121" s="76"/>
      <c r="F121" s="76"/>
      <c r="G121" s="76"/>
      <c r="H121" s="76"/>
      <c r="I121" s="76"/>
      <c r="J121" s="76"/>
      <c r="K121" s="76"/>
      <c r="L121" s="76"/>
      <c r="M121" s="76"/>
      <c r="N121" s="76"/>
      <c r="O121" s="76"/>
    </row>
    <row r="122" spans="1:15" x14ac:dyDescent="0.2">
      <c r="A122" s="7" t="s">
        <v>150</v>
      </c>
      <c r="C122" s="47" t="str">
        <f>IF(OR($C$118="",$C$110="",$C$110=0),"",$C$118-$C$120/$C$110)</f>
        <v/>
      </c>
      <c r="E122" s="76"/>
      <c r="F122" s="76"/>
      <c r="G122" s="76"/>
      <c r="H122" s="76"/>
      <c r="I122" s="76"/>
      <c r="J122" s="76"/>
      <c r="K122" s="76"/>
      <c r="L122" s="76"/>
      <c r="M122" s="76"/>
      <c r="N122" s="76"/>
      <c r="O122" s="76"/>
    </row>
    <row r="123" spans="1:15" x14ac:dyDescent="0.2">
      <c r="A123" s="7" t="s">
        <v>151</v>
      </c>
      <c r="C123" s="47" t="str">
        <f>IF(OR($C$119="",$C$110="",$C$110=0),"",$C$119-$C$121/$C$110)</f>
        <v/>
      </c>
      <c r="E123" s="76"/>
      <c r="F123" s="76"/>
      <c r="G123" s="76"/>
      <c r="H123" s="76"/>
      <c r="I123" s="76"/>
      <c r="J123" s="76"/>
      <c r="K123" s="76"/>
      <c r="L123" s="76"/>
      <c r="M123" s="76"/>
      <c r="N123" s="76"/>
      <c r="O123" s="76"/>
    </row>
    <row r="124" spans="1:15" x14ac:dyDescent="0.2">
      <c r="A124" s="8" t="s">
        <v>152</v>
      </c>
      <c r="C124" s="49" t="str">
        <f>IF(OR($C$114="",$C$105=""),"",IFERROR(($C$114*((100-$C$105)/$C$105)-(1-$C$114))/((100-$C$105)/$C$105),""))</f>
        <v/>
      </c>
      <c r="E124" s="75" t="s">
        <v>153</v>
      </c>
      <c r="F124" s="75"/>
      <c r="G124" s="75"/>
      <c r="H124" s="75"/>
      <c r="I124" s="75"/>
      <c r="J124" s="75"/>
      <c r="K124" s="75"/>
      <c r="L124" s="75"/>
      <c r="M124" s="75"/>
      <c r="N124" s="75"/>
      <c r="O124" s="75"/>
    </row>
    <row r="125" spans="1:15" x14ac:dyDescent="0.2">
      <c r="A125" s="8" t="s">
        <v>154</v>
      </c>
      <c r="C125" s="49" t="str">
        <f>IF(OR($C$115="",$C$107=""),"",IFERROR(((1-$C$115)*((100-$C$107)/$C$107)-$C$115)/((100-$C$107)/$C$107),""))</f>
        <v/>
      </c>
      <c r="E125" s="76"/>
      <c r="F125" s="76"/>
      <c r="G125" s="76"/>
      <c r="H125" s="76"/>
      <c r="I125" s="76"/>
      <c r="J125" s="76"/>
      <c r="K125" s="76"/>
      <c r="L125" s="76"/>
      <c r="M125" s="76"/>
      <c r="N125" s="76"/>
      <c r="O125" s="76"/>
    </row>
    <row r="126" spans="1:15" x14ac:dyDescent="0.2">
      <c r="A126" s="8"/>
      <c r="C126" s="49" t="str">
        <f>IF($C$124="","",MAX(0,$C$124/4))</f>
        <v/>
      </c>
      <c r="E126" s="75"/>
      <c r="F126" s="75"/>
      <c r="G126" s="75"/>
      <c r="H126" s="75"/>
      <c r="I126" s="75"/>
      <c r="J126" s="75"/>
      <c r="K126" s="75"/>
      <c r="L126" s="75"/>
      <c r="M126" s="75"/>
      <c r="N126" s="75"/>
      <c r="O126" s="75"/>
    </row>
    <row r="127" spans="1:15" x14ac:dyDescent="0.2">
      <c r="A127" s="8"/>
      <c r="C127" s="49" t="str">
        <f>IF($C$125="","",MAX(0,$C$125/4))</f>
        <v/>
      </c>
      <c r="E127" s="76"/>
      <c r="F127" s="76"/>
      <c r="G127" s="76"/>
      <c r="H127" s="76"/>
      <c r="I127" s="76"/>
      <c r="J127" s="76"/>
      <c r="K127" s="76"/>
      <c r="L127" s="76"/>
      <c r="M127" s="76"/>
      <c r="N127" s="76"/>
      <c r="O127" s="76"/>
    </row>
    <row r="128" spans="1:15" x14ac:dyDescent="0.2">
      <c r="A128" s="7" t="s">
        <v>155</v>
      </c>
      <c r="C128" s="50" t="str">
        <f>IF(OR($C$126="",$C$109="",$C$108="",$C$105=""),"",MIN($C$126*$C$109,$C$108/3*$C$105/100,300))</f>
        <v/>
      </c>
      <c r="E128" s="76"/>
      <c r="F128" s="76"/>
      <c r="G128" s="76"/>
      <c r="H128" s="76"/>
      <c r="I128" s="76"/>
      <c r="J128" s="76"/>
      <c r="K128" s="76"/>
      <c r="L128" s="76"/>
      <c r="M128" s="76"/>
      <c r="N128" s="76"/>
      <c r="O128" s="76"/>
    </row>
    <row r="129" spans="1:15" x14ac:dyDescent="0.2">
      <c r="A129" s="7" t="s">
        <v>156</v>
      </c>
      <c r="C129" s="50" t="str">
        <f>IF(OR($C$127="",$C$109="",$C$108="",$C$107=""),"",MIN($C$127*$C$109,$C$108/3*$C$107/100,300))</f>
        <v/>
      </c>
      <c r="E129" s="76"/>
      <c r="F129" s="76"/>
      <c r="G129" s="76"/>
      <c r="H129" s="76"/>
      <c r="I129" s="76"/>
      <c r="J129" s="76"/>
      <c r="K129" s="76"/>
      <c r="L129" s="76"/>
      <c r="M129" s="76"/>
      <c r="N129" s="76"/>
      <c r="O129" s="76"/>
    </row>
    <row r="130" spans="1:15" x14ac:dyDescent="0.2">
      <c r="A130" s="8" t="s">
        <v>157</v>
      </c>
      <c r="C130" s="41" t="str">
        <f>IF(OR($C$113="",$C$100=""),"",ABS($C$113-$C$100))</f>
        <v/>
      </c>
      <c r="E130" s="76"/>
      <c r="F130" s="76"/>
      <c r="G130" s="76"/>
      <c r="H130" s="76"/>
      <c r="I130" s="76"/>
      <c r="J130" s="76"/>
      <c r="K130" s="76"/>
      <c r="L130" s="76"/>
      <c r="M130" s="76"/>
      <c r="N130" s="76"/>
      <c r="O130" s="76"/>
    </row>
    <row r="131" spans="1:15" x14ac:dyDescent="0.2">
      <c r="A131" s="7" t="s">
        <v>158</v>
      </c>
      <c r="C131" s="51" t="str">
        <f>IF($C$130="","",IF($C$130&gt;0.15,"◀ DIVERGENCE — investigate","ok"))</f>
        <v/>
      </c>
      <c r="E131" s="76"/>
      <c r="F131" s="76"/>
      <c r="G131" s="76"/>
      <c r="H131" s="76"/>
      <c r="I131" s="76"/>
      <c r="J131" s="76"/>
      <c r="K131" s="76"/>
      <c r="L131" s="76"/>
      <c r="M131" s="76"/>
      <c r="N131" s="76"/>
      <c r="O131" s="76"/>
    </row>
    <row r="132" spans="1:15" x14ac:dyDescent="0.2">
      <c r="A132" s="8" t="s">
        <v>159</v>
      </c>
      <c r="C132" s="52" t="str">
        <f>IF(OR($C$111="",$C$107=""),"",ABS($C$111)*IF($C$111&gt;=0,$C$107,$C$105)/100)</f>
        <v/>
      </c>
      <c r="E132" s="76"/>
      <c r="F132" s="76"/>
      <c r="G132" s="76"/>
      <c r="H132" s="76"/>
      <c r="I132" s="76"/>
      <c r="J132" s="76"/>
      <c r="K132" s="76"/>
      <c r="L132" s="76"/>
      <c r="M132" s="76"/>
      <c r="N132" s="76"/>
      <c r="O132" s="76"/>
    </row>
    <row r="133" spans="1:15" x14ac:dyDescent="0.2">
      <c r="A133" s="7" t="s">
        <v>160</v>
      </c>
      <c r="C133" s="51" t="str">
        <f>IF($C$132="","",IF($C$132&gt;300,"◀ CAP BREACHED — do not add","within cap"))</f>
        <v/>
      </c>
      <c r="E133" s="76"/>
      <c r="F133" s="76"/>
      <c r="G133" s="76"/>
      <c r="H133" s="76"/>
      <c r="I133" s="76"/>
      <c r="J133" s="76"/>
      <c r="K133" s="76"/>
      <c r="L133" s="76"/>
      <c r="M133" s="76"/>
      <c r="N133" s="76"/>
      <c r="O133" s="76"/>
    </row>
    <row r="134" spans="1:15" x14ac:dyDescent="0.2">
      <c r="A134" s="7" t="s">
        <v>161</v>
      </c>
      <c r="C134" s="53" t="str">
        <f>IF($C$100="","— fill daily table + ENS members —",IF($C$132&gt;300,"HALT — over $300 cap, do not add",IF(AND(ISNUMBER($C$119),$C$119&gt;=3,ISNUMBER($C$108),$C$108&gt;0),"ACCUMULATE NO (edge ≥3¢)",IF(AND(ISNUMBER($C$118),$C$118&gt;=3,ISNUMBER($C$108),$C$108&gt;0),"ACCUMULATE YES (edge ≥3¢)",IF(AND(ISNUMBER($C$130),$C$130&gt;0.15),"DIVERGENCE — check Fcst_log: fresh model high ⇒ RIDE, no new high ⇒ FADE","PASSIVE / NO TRADE (small edge or wide spread)")))))</f>
        <v>— fill daily table + ENS members —</v>
      </c>
      <c r="E134" s="76"/>
      <c r="F134" s="76"/>
      <c r="G134" s="76"/>
      <c r="H134" s="76"/>
      <c r="I134" s="76"/>
      <c r="J134" s="76"/>
      <c r="K134" s="76"/>
      <c r="L134" s="76"/>
      <c r="M134" s="76"/>
      <c r="N134" s="76"/>
      <c r="O134" s="76"/>
    </row>
    <row r="136" spans="1:15" ht="19" customHeight="1" x14ac:dyDescent="0.2">
      <c r="A136" s="80" t="s">
        <v>162</v>
      </c>
      <c r="B136" s="80"/>
      <c r="C136" s="80"/>
      <c r="D136" s="80"/>
      <c r="E136" s="80"/>
      <c r="F136" s="80"/>
      <c r="G136" s="80"/>
      <c r="H136" s="80"/>
      <c r="I136" s="80"/>
      <c r="J136" s="80"/>
      <c r="K136" s="80"/>
      <c r="L136" s="80"/>
      <c r="M136" s="80"/>
      <c r="N136" s="80"/>
      <c r="O136" s="80"/>
    </row>
    <row r="137" spans="1:15" x14ac:dyDescent="0.2">
      <c r="A137" s="54" t="s">
        <v>163</v>
      </c>
      <c r="B137" s="54"/>
      <c r="D137" s="54" t="s">
        <v>164</v>
      </c>
      <c r="E137" s="54" t="s">
        <v>165</v>
      </c>
      <c r="F137" s="54" t="s">
        <v>166</v>
      </c>
    </row>
    <row r="138" spans="1:15" x14ac:dyDescent="0.2">
      <c r="A138" s="8" t="s">
        <v>167</v>
      </c>
      <c r="C138" s="38">
        <f>COUNT($M$49:$M$79)</f>
        <v>0</v>
      </c>
      <c r="D138" s="38">
        <f>COUNT($N$49:$N$79)</f>
        <v>0</v>
      </c>
      <c r="E138" s="38">
        <f>COUNT($O$49:$O$79)</f>
        <v>0</v>
      </c>
      <c r="G138" s="12" t="s">
        <v>168</v>
      </c>
    </row>
    <row r="139" spans="1:15" x14ac:dyDescent="0.2">
      <c r="A139" s="8" t="s">
        <v>169</v>
      </c>
      <c r="C139" s="37" t="str">
        <f>IFERROR(AVERAGE($M$49:$M$79),"")</f>
        <v/>
      </c>
      <c r="D139" s="37" t="str">
        <f>IFERROR(AVERAGE($N$49:$N$79),"")</f>
        <v/>
      </c>
      <c r="E139" s="37" t="str">
        <f>IFERROR(AVERAGE($O$49:$O$79),"")</f>
        <v/>
      </c>
      <c r="G139" s="12" t="s">
        <v>170</v>
      </c>
    </row>
    <row r="140" spans="1:15" x14ac:dyDescent="0.2">
      <c r="A140" s="8" t="s">
        <v>171</v>
      </c>
      <c r="C140" s="37" t="str">
        <f>IFERROR(AVERAGE($Q$49:$Q$79),"")</f>
        <v/>
      </c>
      <c r="D140" s="37" t="str">
        <f>IFERROR(AVERAGE($S$49:$S$79),"")</f>
        <v/>
      </c>
      <c r="E140" s="37" t="str">
        <f>IFERROR(AVERAGE($U$49:$U$79),"")</f>
        <v/>
      </c>
    </row>
    <row r="141" spans="1:15" x14ac:dyDescent="0.2">
      <c r="A141" s="8" t="s">
        <v>172</v>
      </c>
      <c r="C141" s="37" t="str">
        <f>IFERROR(SQRT(AVERAGE($R$49:$R$79)),"")</f>
        <v/>
      </c>
      <c r="D141" s="37" t="str">
        <f>IFERROR(SQRT(AVERAGE($T$49:$T$79)),"")</f>
        <v/>
      </c>
      <c r="E141" s="37" t="str">
        <f>IFERROR(SQRT(AVERAGE($V$49:$V$79)),"")</f>
        <v/>
      </c>
    </row>
    <row r="142" spans="1:15" x14ac:dyDescent="0.2">
      <c r="A142" s="8" t="s">
        <v>173</v>
      </c>
      <c r="C142" s="55" t="str">
        <f>IFERROR(AVERAGE($E$49:$E$79),"")</f>
        <v/>
      </c>
    </row>
    <row r="143" spans="1:15" x14ac:dyDescent="0.2">
      <c r="A143" s="8" t="s">
        <v>174</v>
      </c>
      <c r="C143" s="56" t="str">
        <f>IFERROR($C$142/$C$141,"")</f>
        <v/>
      </c>
      <c r="G143" s="12" t="s">
        <v>175</v>
      </c>
    </row>
    <row r="144" spans="1:15" x14ac:dyDescent="0.2">
      <c r="A144" s="8" t="s">
        <v>176</v>
      </c>
      <c r="C144" s="27" t="str">
        <f>IFERROR(SQRT(AVERAGE($W$49:$W$79)),"")</f>
        <v/>
      </c>
      <c r="G144" s="12" t="s">
        <v>177</v>
      </c>
    </row>
    <row r="145" spans="1:18" x14ac:dyDescent="0.2">
      <c r="A145" s="8" t="s">
        <v>178</v>
      </c>
      <c r="C145" s="57" t="str">
        <f>IFERROR(1-C141/$C$144,"")</f>
        <v/>
      </c>
      <c r="D145" s="57" t="str">
        <f>IFERROR(1-D141/$C$144,"")</f>
        <v/>
      </c>
      <c r="E145" s="57" t="str">
        <f>IFERROR(1-E141/$C$144,"")</f>
        <v/>
      </c>
    </row>
    <row r="147" spans="1:18" x14ac:dyDescent="0.2">
      <c r="A147" s="7" t="s">
        <v>179</v>
      </c>
      <c r="C147" s="39" t="str">
        <f>IF($C$83=0,"",IFERROR((IF(ISNUMBER(INDEX($M$49:$M$79,$C$83)),INDEX($M$49:$M$79,$C$83),0)+IF(AND($C$83&gt;=2,ISNUMBER(INDEX($M$49:$M$79,MAX(1,$C$83-1)))),INDEX($M$49:$M$79,MAX(1,$C$83-1)),0)+IF(AND($C$83&gt;=3,ISNUMBER(INDEX($M$49:$M$79,MAX(1,$C$83-2)))),INDEX($M$49:$M$79,MAX(1,$C$83-2)),0))/MAX(1,IF(ISNUMBER(INDEX($M$49:$M$79,$C$83)),1,0)+IF(AND($C$83&gt;=2,ISNUMBER(INDEX($M$49:$M$79,MAX(1,$C$83-1)))),1,0)+IF(AND($C$83&gt;=3,ISNUMBER(INDEX($M$49:$M$79,MAX(1,$C$83-2)))),1,0)),""))</f>
        <v/>
      </c>
      <c r="E147" s="12" t="s">
        <v>180</v>
      </c>
    </row>
    <row r="148" spans="1:18" x14ac:dyDescent="0.2">
      <c r="A148" s="7" t="s">
        <v>181</v>
      </c>
      <c r="C148" s="7" t="str">
        <f>IF($C$147="","",IF(ABS($C$147)&gt;0.05,IF($C$147&gt;0,"⚠ WARN — actuals running WARM (surge risk, YES value)","⚠ WARN — actuals running COLD"),"ok"))</f>
        <v/>
      </c>
    </row>
    <row r="150" spans="1:18" x14ac:dyDescent="0.2">
      <c r="A150" s="58" t="s">
        <v>182</v>
      </c>
    </row>
    <row r="151" spans="1:18" x14ac:dyDescent="0.2">
      <c r="A151" s="8" t="s">
        <v>183</v>
      </c>
      <c r="C151" s="57" t="str">
        <f>IFERROR((1/$C$140)/((1/$C$140)+(1/$D$140)),"")</f>
        <v/>
      </c>
      <c r="E151" s="8" t="s">
        <v>184</v>
      </c>
      <c r="F151" s="57" t="str">
        <f>IFERROR((1/$D$140)/((1/$C$140)+(1/$D$140)),"")</f>
        <v/>
      </c>
    </row>
    <row r="153" spans="1:18" x14ac:dyDescent="0.2">
      <c r="A153" s="28" t="s">
        <v>185</v>
      </c>
    </row>
    <row r="154" spans="1:18" x14ac:dyDescent="0.2">
      <c r="A154" s="12" t="s">
        <v>186</v>
      </c>
      <c r="C154" s="12" t="str">
        <f>IF($C$138&gt;=30,"—compute now—","insufficient n")</f>
        <v>insufficient n</v>
      </c>
    </row>
    <row r="155" spans="1:18" x14ac:dyDescent="0.2">
      <c r="A155" s="12" t="s">
        <v>187</v>
      </c>
      <c r="C155" s="12" t="str">
        <f>IF($C$138&gt;=30,"—compute now—","insufficient n")</f>
        <v>insufficient n</v>
      </c>
    </row>
    <row r="156" spans="1:18" x14ac:dyDescent="0.2">
      <c r="A156" s="12" t="s">
        <v>188</v>
      </c>
      <c r="C156" s="12" t="str">
        <f>IF($C$138&gt;=30,"—compute now—","insufficient n")</f>
        <v>insufficient n</v>
      </c>
    </row>
    <row r="157" spans="1:18" x14ac:dyDescent="0.2">
      <c r="A157" s="12" t="s">
        <v>189</v>
      </c>
      <c r="C157" s="12" t="str">
        <f>IF($C$138&gt;=30,"—compute now—","insufficient n")</f>
        <v>insufficient n</v>
      </c>
    </row>
    <row r="160" spans="1:18" ht="19" customHeight="1" x14ac:dyDescent="0.2">
      <c r="A160" s="80" t="s">
        <v>190</v>
      </c>
      <c r="B160" s="80"/>
      <c r="C160" s="80"/>
      <c r="D160" s="80"/>
      <c r="E160" s="80"/>
      <c r="F160" s="80"/>
      <c r="G160" s="80"/>
      <c r="H160" s="80"/>
      <c r="I160" s="80"/>
      <c r="J160" s="80"/>
      <c r="K160" s="80"/>
      <c r="L160" s="80"/>
      <c r="M160" s="80"/>
      <c r="N160" s="80"/>
      <c r="O160" s="80"/>
      <c r="P160" s="80"/>
      <c r="Q160" s="80"/>
      <c r="R160" s="80"/>
    </row>
    <row r="161" spans="1:18" x14ac:dyDescent="0.2">
      <c r="A161" s="12"/>
    </row>
    <row r="162" spans="1:18" ht="27" x14ac:dyDescent="0.2">
      <c r="A162" s="59" t="s">
        <v>191</v>
      </c>
      <c r="B162" s="59" t="s">
        <v>192</v>
      </c>
      <c r="C162" s="59" t="s">
        <v>193</v>
      </c>
      <c r="D162" s="59" t="s">
        <v>194</v>
      </c>
      <c r="E162" s="59" t="s">
        <v>195</v>
      </c>
      <c r="F162" s="59" t="s">
        <v>196</v>
      </c>
      <c r="G162" s="59" t="s">
        <v>197</v>
      </c>
      <c r="H162" s="59" t="s">
        <v>198</v>
      </c>
      <c r="I162" s="59" t="s">
        <v>199</v>
      </c>
      <c r="J162" s="59" t="s">
        <v>200</v>
      </c>
      <c r="K162" s="59" t="s">
        <v>201</v>
      </c>
      <c r="L162" s="59" t="s">
        <v>202</v>
      </c>
      <c r="M162" s="59" t="s">
        <v>203</v>
      </c>
      <c r="N162" s="59" t="s">
        <v>204</v>
      </c>
      <c r="O162" s="59" t="s">
        <v>205</v>
      </c>
      <c r="P162" s="59" t="s">
        <v>206</v>
      </c>
      <c r="Q162" s="59" t="s">
        <v>207</v>
      </c>
      <c r="R162" s="59" t="s">
        <v>208</v>
      </c>
    </row>
    <row r="163" spans="1:18" x14ac:dyDescent="0.2">
      <c r="A163" s="60">
        <v>1990</v>
      </c>
      <c r="B163" s="61">
        <v>-0.16470000000000001</v>
      </c>
      <c r="C163" s="62">
        <v>0.33</v>
      </c>
      <c r="D163" s="61">
        <v>-7.6499999999999999E-2</v>
      </c>
      <c r="E163" s="61">
        <v>-7.6499999999999999E-2</v>
      </c>
      <c r="F163" s="61">
        <v>-0.23699999999999999</v>
      </c>
      <c r="G163" s="61">
        <v>-7.6499999999999999E-2</v>
      </c>
      <c r="H163" s="61">
        <v>-0.224</v>
      </c>
      <c r="I163" s="61">
        <v>-7.6499999999999999E-2</v>
      </c>
      <c r="J163" s="61">
        <v>-0.23369999999999999</v>
      </c>
      <c r="K163" s="61">
        <v>-7.6499999999999999E-2</v>
      </c>
      <c r="L163" s="61">
        <v>-0.1789</v>
      </c>
      <c r="M163" s="61">
        <v>-7.6499999999999999E-2</v>
      </c>
      <c r="N163" s="61">
        <v>-0.17519999999999999</v>
      </c>
      <c r="O163" s="61">
        <v>-7.6499999999999999E-2</v>
      </c>
      <c r="P163" s="61">
        <v>-0.1701</v>
      </c>
      <c r="Q163" s="61">
        <v>-7.6499999999999999E-2</v>
      </c>
      <c r="R163" s="61">
        <v>-0.16470000000000001</v>
      </c>
    </row>
    <row r="164" spans="1:18" x14ac:dyDescent="0.2">
      <c r="A164" s="60">
        <v>1991</v>
      </c>
      <c r="B164" s="61">
        <v>-0.13850000000000001</v>
      </c>
      <c r="C164" s="62">
        <v>0.4</v>
      </c>
      <c r="D164" s="61">
        <v>-4.6199999999999998E-2</v>
      </c>
      <c r="E164" s="61">
        <v>-4.6199999999999998E-2</v>
      </c>
      <c r="F164" s="61">
        <v>2.1499999999999998E-2</v>
      </c>
      <c r="G164" s="61">
        <v>-4.6199999999999998E-2</v>
      </c>
      <c r="H164" s="61">
        <v>-1.72E-2</v>
      </c>
      <c r="I164" s="61">
        <v>-4.6199999999999998E-2</v>
      </c>
      <c r="J164" s="61">
        <v>-9.4500000000000001E-2</v>
      </c>
      <c r="K164" s="61">
        <v>-4.6199999999999998E-2</v>
      </c>
      <c r="L164" s="61">
        <v>-0.14180000000000001</v>
      </c>
      <c r="M164" s="61">
        <v>-4.6199999999999998E-2</v>
      </c>
      <c r="N164" s="61">
        <v>-0.1321</v>
      </c>
      <c r="O164" s="61">
        <v>-4.6199999999999998E-2</v>
      </c>
      <c r="P164" s="61">
        <v>-0.13469999999999999</v>
      </c>
      <c r="Q164" s="61">
        <v>-4.6199999999999998E-2</v>
      </c>
      <c r="R164" s="61">
        <v>-0.13850000000000001</v>
      </c>
    </row>
    <row r="165" spans="1:18" x14ac:dyDescent="0.2">
      <c r="A165" s="60">
        <v>1992</v>
      </c>
      <c r="B165" s="61">
        <v>-0.48699999999999999</v>
      </c>
      <c r="C165" s="62">
        <v>0.12</v>
      </c>
      <c r="D165" s="61">
        <v>-0.46010000000000001</v>
      </c>
      <c r="E165" s="61">
        <v>-0.46010000000000001</v>
      </c>
      <c r="F165" s="61">
        <v>-0.67700000000000005</v>
      </c>
      <c r="G165" s="61">
        <v>-0.46010000000000001</v>
      </c>
      <c r="H165" s="61">
        <v>-0.66420000000000001</v>
      </c>
      <c r="I165" s="61">
        <v>-0.46010000000000001</v>
      </c>
      <c r="J165" s="61">
        <v>-0.55769999999999997</v>
      </c>
      <c r="K165" s="61">
        <v>-0.46010000000000001</v>
      </c>
      <c r="L165" s="61">
        <v>-0.50749999999999995</v>
      </c>
      <c r="M165" s="61">
        <v>-0.46010000000000001</v>
      </c>
      <c r="N165" s="61">
        <v>-0.48220000000000002</v>
      </c>
      <c r="O165" s="61">
        <v>-0.46010000000000001</v>
      </c>
      <c r="P165" s="61">
        <v>-0.4894</v>
      </c>
      <c r="Q165" s="61">
        <v>-0.46010000000000001</v>
      </c>
      <c r="R165" s="61">
        <v>-0.48699999999999999</v>
      </c>
    </row>
    <row r="166" spans="1:18" x14ac:dyDescent="0.2">
      <c r="A166" s="60">
        <v>1993</v>
      </c>
      <c r="B166" s="61">
        <v>-0.38329999999999997</v>
      </c>
      <c r="C166" s="62">
        <v>0.19</v>
      </c>
      <c r="D166" s="61">
        <v>-0.34889999999999999</v>
      </c>
      <c r="E166" s="61">
        <v>-0.34889999999999999</v>
      </c>
      <c r="F166" s="61">
        <v>-0.34300000000000003</v>
      </c>
      <c r="G166" s="61">
        <v>-0.34889999999999999</v>
      </c>
      <c r="H166" s="61">
        <v>-0.32219999999999999</v>
      </c>
      <c r="I166" s="61">
        <v>-0.34889999999999999</v>
      </c>
      <c r="J166" s="61">
        <v>-0.32350000000000001</v>
      </c>
      <c r="K166" s="61">
        <v>-0.34889999999999999</v>
      </c>
      <c r="L166" s="61">
        <v>-0.32950000000000002</v>
      </c>
      <c r="M166" s="61">
        <v>-0.34889999999999999</v>
      </c>
      <c r="N166" s="61">
        <v>-0.3301</v>
      </c>
      <c r="O166" s="61">
        <v>-0.34889999999999999</v>
      </c>
      <c r="P166" s="61">
        <v>-0.36</v>
      </c>
      <c r="Q166" s="61">
        <v>-0.34889999999999999</v>
      </c>
      <c r="R166" s="61">
        <v>-0.38329999999999997</v>
      </c>
    </row>
    <row r="167" spans="1:18" x14ac:dyDescent="0.2">
      <c r="A167" s="60">
        <v>1994</v>
      </c>
      <c r="B167" s="61">
        <v>-0.3831</v>
      </c>
      <c r="C167" s="62">
        <v>0.27</v>
      </c>
      <c r="D167" s="61">
        <v>-0.27360000000000001</v>
      </c>
      <c r="E167" s="61">
        <v>-0.27360000000000001</v>
      </c>
      <c r="F167" s="61">
        <v>-0.41049999999999998</v>
      </c>
      <c r="G167" s="61">
        <v>-0.27360000000000001</v>
      </c>
      <c r="H167" s="61">
        <v>-0.45639999999999997</v>
      </c>
      <c r="I167" s="61">
        <v>-0.27360000000000001</v>
      </c>
      <c r="J167" s="61">
        <v>-0.4556</v>
      </c>
      <c r="K167" s="61">
        <v>-0.27360000000000001</v>
      </c>
      <c r="L167" s="61">
        <v>-0.41710000000000003</v>
      </c>
      <c r="M167" s="61">
        <v>-0.27360000000000001</v>
      </c>
      <c r="N167" s="61">
        <v>-0.39650000000000002</v>
      </c>
      <c r="O167" s="61">
        <v>-0.27360000000000001</v>
      </c>
      <c r="P167" s="61">
        <v>-0.40060000000000001</v>
      </c>
      <c r="Q167" s="61">
        <v>-0.27360000000000001</v>
      </c>
      <c r="R167" s="61">
        <v>-0.3831</v>
      </c>
    </row>
    <row r="168" spans="1:18" x14ac:dyDescent="0.2">
      <c r="A168" s="60">
        <v>1995</v>
      </c>
      <c r="B168" s="61">
        <v>-0.10580000000000001</v>
      </c>
      <c r="C168" s="62">
        <v>0.51</v>
      </c>
      <c r="D168" s="61">
        <v>-0.1028</v>
      </c>
      <c r="E168" s="61">
        <v>-0.1028</v>
      </c>
      <c r="F168" s="61">
        <v>-1.9E-2</v>
      </c>
      <c r="G168" s="61">
        <v>-0.1028</v>
      </c>
      <c r="H168" s="61">
        <v>1.4E-3</v>
      </c>
      <c r="I168" s="61">
        <v>-0.1028</v>
      </c>
      <c r="J168" s="61">
        <v>-0.1084</v>
      </c>
      <c r="K168" s="61">
        <v>-0.1028</v>
      </c>
      <c r="L168" s="61">
        <v>-0.13489999999999999</v>
      </c>
      <c r="M168" s="61">
        <v>-0.1028</v>
      </c>
      <c r="N168" s="61">
        <v>-0.1348</v>
      </c>
      <c r="O168" s="61">
        <v>-0.1028</v>
      </c>
      <c r="P168" s="61">
        <v>-0.1227</v>
      </c>
      <c r="Q168" s="61">
        <v>-0.1028</v>
      </c>
      <c r="R168" s="61">
        <v>-0.10580000000000001</v>
      </c>
    </row>
    <row r="169" spans="1:18" x14ac:dyDescent="0.2">
      <c r="A169" s="60">
        <v>1996</v>
      </c>
      <c r="B169" s="61">
        <v>-0.1104</v>
      </c>
      <c r="C169" s="62">
        <v>0.43</v>
      </c>
      <c r="D169" s="61">
        <v>-0.20530000000000001</v>
      </c>
      <c r="E169" s="61">
        <v>-0.20530000000000001</v>
      </c>
      <c r="F169" s="61">
        <v>3.1E-2</v>
      </c>
      <c r="G169" s="61">
        <v>-0.20530000000000001</v>
      </c>
      <c r="H169" s="61">
        <v>0.01</v>
      </c>
      <c r="I169" s="61">
        <v>-0.20530000000000001</v>
      </c>
      <c r="J169" s="61">
        <v>-9.11E-2</v>
      </c>
      <c r="K169" s="61">
        <v>-0.20530000000000001</v>
      </c>
      <c r="L169" s="61">
        <v>-0.10730000000000001</v>
      </c>
      <c r="M169" s="61">
        <v>-0.20530000000000001</v>
      </c>
      <c r="N169" s="61">
        <v>-0.15179999999999999</v>
      </c>
      <c r="O169" s="61">
        <v>-0.20530000000000001</v>
      </c>
      <c r="P169" s="61">
        <v>-0.14319999999999999</v>
      </c>
      <c r="Q169" s="61">
        <v>-0.20530000000000001</v>
      </c>
      <c r="R169" s="61">
        <v>-0.1104</v>
      </c>
    </row>
    <row r="170" spans="1:18" x14ac:dyDescent="0.2">
      <c r="A170" s="60">
        <v>1997</v>
      </c>
      <c r="B170" s="61">
        <v>-0.13289999999999999</v>
      </c>
      <c r="C170" s="62">
        <v>0.47</v>
      </c>
      <c r="D170" s="61">
        <v>-0.17100000000000001</v>
      </c>
      <c r="E170" s="61">
        <v>-0.17100000000000001</v>
      </c>
      <c r="F170" s="61">
        <v>-7.3499999999999996E-2</v>
      </c>
      <c r="G170" s="61">
        <v>-0.17100000000000001</v>
      </c>
      <c r="H170" s="61">
        <v>-0.10440000000000001</v>
      </c>
      <c r="I170" s="61">
        <v>-0.17100000000000001</v>
      </c>
      <c r="J170" s="61">
        <v>-0.17610000000000001</v>
      </c>
      <c r="K170" s="61">
        <v>-0.17100000000000001</v>
      </c>
      <c r="L170" s="61">
        <v>-0.15509999999999999</v>
      </c>
      <c r="M170" s="61">
        <v>-0.17100000000000001</v>
      </c>
      <c r="N170" s="61">
        <v>-0.14660000000000001</v>
      </c>
      <c r="O170" s="61">
        <v>-0.17100000000000001</v>
      </c>
      <c r="P170" s="61">
        <v>-0.13159999999999999</v>
      </c>
      <c r="Q170" s="61">
        <v>-0.17100000000000001</v>
      </c>
      <c r="R170" s="61">
        <v>-0.13289999999999999</v>
      </c>
    </row>
    <row r="171" spans="1:18" x14ac:dyDescent="0.2">
      <c r="A171" s="60">
        <v>1998</v>
      </c>
      <c r="B171" s="61">
        <v>0.1426</v>
      </c>
      <c r="C171" s="62">
        <v>0.71</v>
      </c>
      <c r="D171" s="61">
        <v>0.12280000000000001</v>
      </c>
      <c r="E171" s="61">
        <v>0.12280000000000001</v>
      </c>
      <c r="F171" s="61">
        <v>0.13850000000000001</v>
      </c>
      <c r="G171" s="61">
        <v>0.12280000000000001</v>
      </c>
      <c r="H171" s="61">
        <v>0.21659999999999999</v>
      </c>
      <c r="I171" s="61">
        <v>0.12280000000000001</v>
      </c>
      <c r="J171" s="61">
        <v>0.27229999999999999</v>
      </c>
      <c r="K171" s="61">
        <v>0.12280000000000001</v>
      </c>
      <c r="L171" s="61">
        <v>0.21390000000000001</v>
      </c>
      <c r="M171" s="61">
        <v>0.12280000000000001</v>
      </c>
      <c r="N171" s="61">
        <v>0.1699</v>
      </c>
      <c r="O171" s="61">
        <v>0.12280000000000001</v>
      </c>
      <c r="P171" s="61">
        <v>0.16600000000000001</v>
      </c>
      <c r="Q171" s="61">
        <v>0.12280000000000001</v>
      </c>
      <c r="R171" s="61">
        <v>0.1426</v>
      </c>
    </row>
    <row r="172" spans="1:18" x14ac:dyDescent="0.2">
      <c r="A172" s="60">
        <v>1999</v>
      </c>
      <c r="B172" s="61">
        <v>-0.2364</v>
      </c>
      <c r="C172" s="62">
        <v>0.38</v>
      </c>
      <c r="D172" s="61">
        <v>-0.20100000000000001</v>
      </c>
      <c r="E172" s="61">
        <v>-0.20100000000000001</v>
      </c>
      <c r="F172" s="61">
        <v>-0.1865</v>
      </c>
      <c r="G172" s="61">
        <v>-0.20100000000000001</v>
      </c>
      <c r="H172" s="61">
        <v>-0.16239999999999999</v>
      </c>
      <c r="I172" s="61">
        <v>-0.20100000000000001</v>
      </c>
      <c r="J172" s="61">
        <v>-0.20930000000000001</v>
      </c>
      <c r="K172" s="61">
        <v>-0.20100000000000001</v>
      </c>
      <c r="L172" s="61">
        <v>-0.23549999999999999</v>
      </c>
      <c r="M172" s="61">
        <v>-0.20100000000000001</v>
      </c>
      <c r="N172" s="61">
        <v>-0.2382</v>
      </c>
      <c r="O172" s="61">
        <v>-0.20100000000000001</v>
      </c>
      <c r="P172" s="61">
        <v>-0.23749999999999999</v>
      </c>
      <c r="Q172" s="61">
        <v>-0.20100000000000001</v>
      </c>
      <c r="R172" s="61">
        <v>-0.2364</v>
      </c>
    </row>
    <row r="173" spans="1:18" x14ac:dyDescent="0.2">
      <c r="A173" s="60">
        <v>2000</v>
      </c>
      <c r="B173" s="61">
        <v>-0.17380000000000001</v>
      </c>
      <c r="C173" s="62">
        <v>0.44</v>
      </c>
      <c r="D173" s="61">
        <v>-0.23669999999999999</v>
      </c>
      <c r="E173" s="61">
        <v>-0.23669999999999999</v>
      </c>
      <c r="F173" s="61">
        <v>-5.2999999999999999E-2</v>
      </c>
      <c r="G173" s="61">
        <v>-0.23669999999999999</v>
      </c>
      <c r="H173" s="61">
        <v>-0.15659999999999999</v>
      </c>
      <c r="I173" s="61">
        <v>-0.23669999999999999</v>
      </c>
      <c r="J173" s="61">
        <v>-0.18770000000000001</v>
      </c>
      <c r="K173" s="61">
        <v>-0.23669999999999999</v>
      </c>
      <c r="L173" s="61">
        <v>-0.2301</v>
      </c>
      <c r="M173" s="61">
        <v>-0.23669999999999999</v>
      </c>
      <c r="N173" s="61">
        <v>-0.23980000000000001</v>
      </c>
      <c r="O173" s="61">
        <v>-0.23669999999999999</v>
      </c>
      <c r="P173" s="61">
        <v>-0.21379999999999999</v>
      </c>
      <c r="Q173" s="61">
        <v>-0.23669999999999999</v>
      </c>
      <c r="R173" s="61">
        <v>-0.17380000000000001</v>
      </c>
    </row>
    <row r="174" spans="1:18" x14ac:dyDescent="0.2">
      <c r="A174" s="60">
        <v>2001</v>
      </c>
      <c r="B174" s="61">
        <v>-4.9799999999999997E-2</v>
      </c>
      <c r="C174" s="62">
        <v>0.52</v>
      </c>
      <c r="D174" s="61">
        <v>-1.9400000000000001E-2</v>
      </c>
      <c r="E174" s="61">
        <v>-1.9400000000000001E-2</v>
      </c>
      <c r="F174" s="61">
        <v>1.4E-2</v>
      </c>
      <c r="G174" s="61">
        <v>-1.9400000000000001E-2</v>
      </c>
      <c r="H174" s="61">
        <v>2.92E-2</v>
      </c>
      <c r="I174" s="61">
        <v>-1.9400000000000001E-2</v>
      </c>
      <c r="J174" s="61">
        <v>-1.2699999999999999E-2</v>
      </c>
      <c r="K174" s="61">
        <v>-1.9400000000000001E-2</v>
      </c>
      <c r="L174" s="61">
        <v>-4.9099999999999998E-2</v>
      </c>
      <c r="M174" s="61">
        <v>-1.9400000000000001E-2</v>
      </c>
      <c r="N174" s="61">
        <v>-6.0299999999999999E-2</v>
      </c>
      <c r="O174" s="61">
        <v>-1.9400000000000001E-2</v>
      </c>
      <c r="P174" s="61">
        <v>-4.2299999999999997E-2</v>
      </c>
      <c r="Q174" s="61">
        <v>-1.9400000000000001E-2</v>
      </c>
      <c r="R174" s="61">
        <v>-4.9799999999999997E-2</v>
      </c>
    </row>
    <row r="175" spans="1:18" x14ac:dyDescent="0.2">
      <c r="A175" s="60">
        <v>2002</v>
      </c>
      <c r="B175" s="61">
        <v>-4.5400000000000003E-2</v>
      </c>
      <c r="C175" s="62">
        <v>0.55000000000000004</v>
      </c>
      <c r="D175" s="61">
        <v>3.49E-2</v>
      </c>
      <c r="E175" s="61">
        <v>3.49E-2</v>
      </c>
      <c r="F175" s="61">
        <v>-0.10199999999999999</v>
      </c>
      <c r="G175" s="61">
        <v>3.49E-2</v>
      </c>
      <c r="H175" s="61">
        <v>-0.1386</v>
      </c>
      <c r="I175" s="61">
        <v>3.49E-2</v>
      </c>
      <c r="J175" s="61">
        <v>-0.1221</v>
      </c>
      <c r="K175" s="61">
        <v>3.49E-2</v>
      </c>
      <c r="L175" s="61">
        <v>-5.6300000000000003E-2</v>
      </c>
      <c r="M175" s="61">
        <v>3.49E-2</v>
      </c>
      <c r="N175" s="61">
        <v>-3.0800000000000001E-2</v>
      </c>
      <c r="O175" s="61">
        <v>3.49E-2</v>
      </c>
      <c r="P175" s="61">
        <v>-3.1199999999999999E-2</v>
      </c>
      <c r="Q175" s="61">
        <v>3.49E-2</v>
      </c>
      <c r="R175" s="61">
        <v>-4.5400000000000003E-2</v>
      </c>
    </row>
    <row r="176" spans="1:18" x14ac:dyDescent="0.2">
      <c r="A176" s="60">
        <v>2003</v>
      </c>
      <c r="B176" s="61">
        <v>4.7E-2</v>
      </c>
      <c r="C176" s="62">
        <v>0.62</v>
      </c>
      <c r="D176" s="61">
        <v>-4.6199999999999998E-2</v>
      </c>
      <c r="E176" s="61">
        <v>-4.6199999999999998E-2</v>
      </c>
      <c r="F176" s="61">
        <v>5.0000000000000001E-3</v>
      </c>
      <c r="G176" s="61">
        <v>-4.6199999999999998E-2</v>
      </c>
      <c r="H176" s="61">
        <v>4.4600000000000001E-2</v>
      </c>
      <c r="I176" s="61">
        <v>-4.6199999999999998E-2</v>
      </c>
      <c r="J176" s="61">
        <v>2.01E-2</v>
      </c>
      <c r="K176" s="61">
        <v>-4.6199999999999998E-2</v>
      </c>
      <c r="L176" s="61">
        <v>7.7000000000000002E-3</v>
      </c>
      <c r="M176" s="61">
        <v>-4.6199999999999998E-2</v>
      </c>
      <c r="N176" s="61">
        <v>9.4000000000000004E-3</v>
      </c>
      <c r="O176" s="61">
        <v>-4.6199999999999998E-2</v>
      </c>
      <c r="P176" s="61">
        <v>3.3300000000000003E-2</v>
      </c>
      <c r="Q176" s="61">
        <v>-4.6199999999999998E-2</v>
      </c>
      <c r="R176" s="61">
        <v>4.7E-2</v>
      </c>
    </row>
    <row r="177" spans="1:18" x14ac:dyDescent="0.2">
      <c r="A177" s="60">
        <v>2004</v>
      </c>
      <c r="B177" s="61">
        <v>-0.1605</v>
      </c>
      <c r="C177" s="62">
        <v>0.48</v>
      </c>
      <c r="D177" s="61">
        <v>-0.27479999999999999</v>
      </c>
      <c r="E177" s="61">
        <v>-0.27479999999999999</v>
      </c>
      <c r="F177" s="61">
        <v>-0.26350000000000001</v>
      </c>
      <c r="G177" s="61">
        <v>-0.27479999999999999</v>
      </c>
      <c r="H177" s="61">
        <v>-0.254</v>
      </c>
      <c r="I177" s="61">
        <v>-0.27479999999999999</v>
      </c>
      <c r="J177" s="61">
        <v>-0.2571</v>
      </c>
      <c r="K177" s="61">
        <v>-0.27479999999999999</v>
      </c>
      <c r="L177" s="61">
        <v>-0.1981</v>
      </c>
      <c r="M177" s="61">
        <v>-0.27479999999999999</v>
      </c>
      <c r="N177" s="61">
        <v>-0.1676</v>
      </c>
      <c r="O177" s="61">
        <v>-0.27479999999999999</v>
      </c>
      <c r="P177" s="61">
        <v>-0.17519999999999999</v>
      </c>
      <c r="Q177" s="61">
        <v>-0.27479999999999999</v>
      </c>
      <c r="R177" s="61">
        <v>-0.1605</v>
      </c>
    </row>
    <row r="178" spans="1:18" x14ac:dyDescent="0.2">
      <c r="A178" s="60">
        <v>2005</v>
      </c>
      <c r="B178" s="61">
        <v>3.0800000000000001E-2</v>
      </c>
      <c r="C178" s="62">
        <v>0.57999999999999996</v>
      </c>
      <c r="D178" s="61">
        <v>8.6300000000000002E-2</v>
      </c>
      <c r="E178" s="61">
        <v>8.6300000000000002E-2</v>
      </c>
      <c r="F178" s="61">
        <v>2.35E-2</v>
      </c>
      <c r="G178" s="61">
        <v>8.6300000000000002E-2</v>
      </c>
      <c r="H178" s="61">
        <v>4.6600000000000003E-2</v>
      </c>
      <c r="I178" s="61">
        <v>8.6300000000000002E-2</v>
      </c>
      <c r="J178" s="61">
        <v>-2.5999999999999999E-3</v>
      </c>
      <c r="K178" s="61">
        <v>8.6300000000000002E-2</v>
      </c>
      <c r="L178" s="61">
        <v>-1.9199999999999998E-2</v>
      </c>
      <c r="M178" s="61">
        <v>8.6300000000000002E-2</v>
      </c>
      <c r="N178" s="61">
        <v>1.7999999999999999E-2</v>
      </c>
      <c r="O178" s="61">
        <v>8.6300000000000002E-2</v>
      </c>
      <c r="P178" s="61">
        <v>1.9400000000000001E-2</v>
      </c>
      <c r="Q178" s="61">
        <v>8.6300000000000002E-2</v>
      </c>
      <c r="R178" s="61">
        <v>3.0800000000000001E-2</v>
      </c>
    </row>
    <row r="179" spans="1:18" x14ac:dyDescent="0.2">
      <c r="A179" s="60">
        <v>2006</v>
      </c>
      <c r="B179" s="61">
        <v>7.2099999999999997E-2</v>
      </c>
      <c r="C179" s="62">
        <v>0.68</v>
      </c>
      <c r="D179" s="61">
        <v>4.3E-3</v>
      </c>
      <c r="E179" s="61">
        <v>4.3E-3</v>
      </c>
      <c r="F179" s="61">
        <v>8.6999999999999994E-2</v>
      </c>
      <c r="G179" s="61">
        <v>4.3E-3</v>
      </c>
      <c r="H179" s="61">
        <v>0.1242</v>
      </c>
      <c r="I179" s="61">
        <v>4.3E-3</v>
      </c>
      <c r="J179" s="61">
        <v>0.1152</v>
      </c>
      <c r="K179" s="61">
        <v>4.3E-3</v>
      </c>
      <c r="L179" s="61">
        <v>0.1159</v>
      </c>
      <c r="M179" s="61">
        <v>4.3E-3</v>
      </c>
      <c r="N179" s="61">
        <v>0.1103</v>
      </c>
      <c r="O179" s="61">
        <v>4.3E-3</v>
      </c>
      <c r="P179" s="61">
        <v>9.8400000000000001E-2</v>
      </c>
      <c r="Q179" s="61">
        <v>4.3E-3</v>
      </c>
      <c r="R179" s="61">
        <v>7.2099999999999997E-2</v>
      </c>
    </row>
    <row r="180" spans="1:18" x14ac:dyDescent="0.2">
      <c r="A180" s="60">
        <v>2007</v>
      </c>
      <c r="B180" s="61">
        <v>-1.77E-2</v>
      </c>
      <c r="C180" s="62">
        <v>0.56000000000000005</v>
      </c>
      <c r="D180" s="61">
        <v>7.4000000000000003E-3</v>
      </c>
      <c r="E180" s="61">
        <v>7.4000000000000003E-3</v>
      </c>
      <c r="F180" s="61">
        <v>6.7500000000000004E-2</v>
      </c>
      <c r="G180" s="61">
        <v>7.4000000000000003E-3</v>
      </c>
      <c r="H180" s="61">
        <v>1.24E-2</v>
      </c>
      <c r="I180" s="61">
        <v>7.4000000000000003E-3</v>
      </c>
      <c r="J180" s="61">
        <v>-8.6999999999999994E-3</v>
      </c>
      <c r="K180" s="61">
        <v>7.4000000000000003E-3</v>
      </c>
      <c r="L180" s="61">
        <v>-1.6899999999999998E-2</v>
      </c>
      <c r="M180" s="61">
        <v>7.4000000000000003E-3</v>
      </c>
      <c r="N180" s="61">
        <v>-3.3799999999999997E-2</v>
      </c>
      <c r="O180" s="61">
        <v>7.4000000000000003E-3</v>
      </c>
      <c r="P180" s="61">
        <v>-2.9700000000000001E-2</v>
      </c>
      <c r="Q180" s="61">
        <v>7.4000000000000003E-3</v>
      </c>
      <c r="R180" s="61">
        <v>-1.77E-2</v>
      </c>
    </row>
    <row r="181" spans="1:18" x14ac:dyDescent="0.2">
      <c r="A181" s="60">
        <v>2008</v>
      </c>
      <c r="B181" s="61">
        <v>-7.7899999999999997E-2</v>
      </c>
      <c r="C181" s="62">
        <v>0.52</v>
      </c>
      <c r="D181" s="61">
        <v>-2.2499999999999999E-2</v>
      </c>
      <c r="E181" s="61">
        <v>-2.2499999999999999E-2</v>
      </c>
      <c r="F181" s="61">
        <v>5.8999999999999997E-2</v>
      </c>
      <c r="G181" s="61">
        <v>-2.2499999999999999E-2</v>
      </c>
      <c r="H181" s="61">
        <v>5.0000000000000001E-3</v>
      </c>
      <c r="I181" s="61">
        <v>-2.2499999999999999E-2</v>
      </c>
      <c r="J181" s="61">
        <v>-5.7200000000000001E-2</v>
      </c>
      <c r="K181" s="61">
        <v>-2.2499999999999999E-2</v>
      </c>
      <c r="L181" s="61">
        <v>-6.5600000000000006E-2</v>
      </c>
      <c r="M181" s="61">
        <v>-2.2499999999999999E-2</v>
      </c>
      <c r="N181" s="61">
        <v>-6.3200000000000006E-2</v>
      </c>
      <c r="O181" s="61">
        <v>-2.2499999999999999E-2</v>
      </c>
      <c r="P181" s="61">
        <v>-6.8400000000000002E-2</v>
      </c>
      <c r="Q181" s="61">
        <v>-2.2499999999999999E-2</v>
      </c>
      <c r="R181" s="61">
        <v>-7.7899999999999997E-2</v>
      </c>
    </row>
    <row r="182" spans="1:18" x14ac:dyDescent="0.2">
      <c r="A182" s="60">
        <v>2009</v>
      </c>
      <c r="B182" s="61">
        <v>4.6300000000000001E-2</v>
      </c>
      <c r="C182" s="62">
        <v>0.68</v>
      </c>
      <c r="D182" s="61">
        <v>0.13869999999999999</v>
      </c>
      <c r="E182" s="61">
        <v>0.13869999999999999</v>
      </c>
      <c r="F182" s="61">
        <v>0.17150000000000001</v>
      </c>
      <c r="G182" s="61">
        <v>0.13869999999999999</v>
      </c>
      <c r="H182" s="61">
        <v>0.1706</v>
      </c>
      <c r="I182" s="61">
        <v>0.13869999999999999</v>
      </c>
      <c r="J182" s="61">
        <v>8.4099999999999994E-2</v>
      </c>
      <c r="K182" s="61">
        <v>0.13869999999999999</v>
      </c>
      <c r="L182" s="61">
        <v>4.9700000000000001E-2</v>
      </c>
      <c r="M182" s="61">
        <v>0.13869999999999999</v>
      </c>
      <c r="N182" s="61">
        <v>5.0200000000000002E-2</v>
      </c>
      <c r="O182" s="61">
        <v>0.13869999999999999</v>
      </c>
      <c r="P182" s="61">
        <v>4.7600000000000003E-2</v>
      </c>
      <c r="Q182" s="61">
        <v>0.13869999999999999</v>
      </c>
      <c r="R182" s="61">
        <v>4.6300000000000001E-2</v>
      </c>
    </row>
    <row r="183" spans="1:18" x14ac:dyDescent="0.2">
      <c r="A183" s="60">
        <v>2010</v>
      </c>
      <c r="B183" s="61">
        <v>4.7300000000000002E-2</v>
      </c>
      <c r="C183" s="62">
        <v>0.63</v>
      </c>
      <c r="D183" s="61">
        <v>5.2999999999999999E-2</v>
      </c>
      <c r="E183" s="61">
        <v>5.2999999999999999E-2</v>
      </c>
      <c r="F183" s="61">
        <v>-7.2499999999999995E-2</v>
      </c>
      <c r="G183" s="61">
        <v>5.2999999999999999E-2</v>
      </c>
      <c r="H183" s="61">
        <v>-0.10539999999999999</v>
      </c>
      <c r="I183" s="61">
        <v>5.2999999999999999E-2</v>
      </c>
      <c r="J183" s="61">
        <v>-0.1055</v>
      </c>
      <c r="K183" s="61">
        <v>5.2999999999999999E-2</v>
      </c>
      <c r="L183" s="61">
        <v>-0.12909999999999999</v>
      </c>
      <c r="M183" s="61">
        <v>5.2999999999999999E-2</v>
      </c>
      <c r="N183" s="61">
        <v>-8.3400000000000002E-2</v>
      </c>
      <c r="O183" s="61">
        <v>5.2999999999999999E-2</v>
      </c>
      <c r="P183" s="61">
        <v>-1.0200000000000001E-2</v>
      </c>
      <c r="Q183" s="61">
        <v>5.2999999999999999E-2</v>
      </c>
      <c r="R183" s="61">
        <v>4.7300000000000002E-2</v>
      </c>
    </row>
    <row r="184" spans="1:18" x14ac:dyDescent="0.2">
      <c r="A184" s="60">
        <v>2011</v>
      </c>
      <c r="B184" s="61">
        <v>0.1119</v>
      </c>
      <c r="C184" s="62">
        <v>0.68</v>
      </c>
      <c r="D184" s="61">
        <v>0.14410000000000001</v>
      </c>
      <c r="E184" s="61">
        <v>0.14410000000000001</v>
      </c>
      <c r="F184" s="61">
        <v>0.20499999999999999</v>
      </c>
      <c r="G184" s="61">
        <v>0.14410000000000001</v>
      </c>
      <c r="H184" s="61">
        <v>0.13339999999999999</v>
      </c>
      <c r="I184" s="61">
        <v>0.14410000000000001</v>
      </c>
      <c r="J184" s="61">
        <v>0.13719999999999999</v>
      </c>
      <c r="K184" s="61">
        <v>0.14410000000000001</v>
      </c>
      <c r="L184" s="61">
        <v>0.12790000000000001</v>
      </c>
      <c r="M184" s="61">
        <v>0.14410000000000001</v>
      </c>
      <c r="N184" s="61">
        <v>8.48E-2</v>
      </c>
      <c r="O184" s="61">
        <v>0.14410000000000001</v>
      </c>
      <c r="P184" s="61">
        <v>7.3800000000000004E-2</v>
      </c>
      <c r="Q184" s="61">
        <v>0.14410000000000001</v>
      </c>
      <c r="R184" s="61">
        <v>0.1119</v>
      </c>
    </row>
    <row r="185" spans="1:18" x14ac:dyDescent="0.2">
      <c r="A185" s="60">
        <v>2012</v>
      </c>
      <c r="B185" s="61">
        <v>7.7399999999999997E-2</v>
      </c>
      <c r="C185" s="62">
        <v>0.65</v>
      </c>
      <c r="D185" s="61">
        <v>4.1300000000000003E-2</v>
      </c>
      <c r="E185" s="61">
        <v>4.1300000000000003E-2</v>
      </c>
      <c r="F185" s="61">
        <v>-8.8499999999999995E-2</v>
      </c>
      <c r="G185" s="61">
        <v>4.1300000000000003E-2</v>
      </c>
      <c r="H185" s="61">
        <v>-3.2199999999999999E-2</v>
      </c>
      <c r="I185" s="61">
        <v>4.1300000000000003E-2</v>
      </c>
      <c r="J185" s="61">
        <v>4.0099999999999997E-2</v>
      </c>
      <c r="K185" s="61">
        <v>4.1300000000000003E-2</v>
      </c>
      <c r="L185" s="61">
        <v>2.0299999999999999E-2</v>
      </c>
      <c r="M185" s="61">
        <v>4.1300000000000003E-2</v>
      </c>
      <c r="N185" s="61">
        <v>1.3299999999999999E-2</v>
      </c>
      <c r="O185" s="61">
        <v>4.1300000000000003E-2</v>
      </c>
      <c r="P185" s="61">
        <v>4.2500000000000003E-2</v>
      </c>
      <c r="Q185" s="61">
        <v>4.1300000000000003E-2</v>
      </c>
      <c r="R185" s="61">
        <v>7.7399999999999997E-2</v>
      </c>
    </row>
    <row r="186" spans="1:18" x14ac:dyDescent="0.2">
      <c r="A186" s="60">
        <v>2013</v>
      </c>
      <c r="B186" s="61">
        <v>5.57E-2</v>
      </c>
      <c r="C186" s="62">
        <v>0.67</v>
      </c>
      <c r="D186" s="61">
        <v>-2.41E-2</v>
      </c>
      <c r="E186" s="61">
        <v>-2.41E-2</v>
      </c>
      <c r="F186" s="61">
        <v>0.03</v>
      </c>
      <c r="G186" s="61">
        <v>-2.41E-2</v>
      </c>
      <c r="H186" s="61">
        <v>6.6000000000000003E-2</v>
      </c>
      <c r="I186" s="61">
        <v>-2.41E-2</v>
      </c>
      <c r="J186" s="61">
        <v>9.8400000000000001E-2</v>
      </c>
      <c r="K186" s="61">
        <v>-2.41E-2</v>
      </c>
      <c r="L186" s="61">
        <v>0.1089</v>
      </c>
      <c r="M186" s="61">
        <v>-2.41E-2</v>
      </c>
      <c r="N186" s="61">
        <v>0.1069</v>
      </c>
      <c r="O186" s="61">
        <v>-2.41E-2</v>
      </c>
      <c r="P186" s="61">
        <v>8.0100000000000005E-2</v>
      </c>
      <c r="Q186" s="61">
        <v>-2.41E-2</v>
      </c>
      <c r="R186" s="61">
        <v>5.57E-2</v>
      </c>
    </row>
    <row r="187" spans="1:18" x14ac:dyDescent="0.2">
      <c r="A187" s="60">
        <v>2014</v>
      </c>
      <c r="B187" s="61">
        <v>0.13700000000000001</v>
      </c>
      <c r="C187" s="62">
        <v>0.8</v>
      </c>
      <c r="D187" s="61">
        <v>6.6699999999999995E-2</v>
      </c>
      <c r="E187" s="61">
        <v>6.6699999999999995E-2</v>
      </c>
      <c r="F187" s="61">
        <v>7.4499999999999997E-2</v>
      </c>
      <c r="G187" s="61">
        <v>6.6699999999999995E-2</v>
      </c>
      <c r="H187" s="61">
        <v>9.1800000000000007E-2</v>
      </c>
      <c r="I187" s="61">
        <v>6.6699999999999995E-2</v>
      </c>
      <c r="J187" s="61">
        <v>9.4200000000000006E-2</v>
      </c>
      <c r="K187" s="61">
        <v>6.6699999999999995E-2</v>
      </c>
      <c r="L187" s="61">
        <v>5.1200000000000002E-2</v>
      </c>
      <c r="M187" s="61">
        <v>6.6699999999999995E-2</v>
      </c>
      <c r="N187" s="61">
        <v>5.4600000000000003E-2</v>
      </c>
      <c r="O187" s="61">
        <v>6.6699999999999995E-2</v>
      </c>
      <c r="P187" s="61">
        <v>9.2200000000000004E-2</v>
      </c>
      <c r="Q187" s="61">
        <v>6.6699999999999995E-2</v>
      </c>
      <c r="R187" s="61">
        <v>0.13700000000000001</v>
      </c>
    </row>
    <row r="188" spans="1:18" x14ac:dyDescent="0.2">
      <c r="A188" s="60">
        <v>2015</v>
      </c>
      <c r="B188" s="61">
        <v>0.24329999999999999</v>
      </c>
      <c r="C188" s="62">
        <v>0.8</v>
      </c>
      <c r="D188" s="61">
        <v>0.15459999999999999</v>
      </c>
      <c r="E188" s="61">
        <v>0.15459999999999999</v>
      </c>
      <c r="F188" s="61">
        <v>0.315</v>
      </c>
      <c r="G188" s="61">
        <v>0.15459999999999999</v>
      </c>
      <c r="H188" s="61">
        <v>0.28339999999999999</v>
      </c>
      <c r="I188" s="61">
        <v>0.15459999999999999</v>
      </c>
      <c r="J188" s="61">
        <v>0.25779999999999997</v>
      </c>
      <c r="K188" s="61">
        <v>0.15459999999999999</v>
      </c>
      <c r="L188" s="61">
        <v>0.24929999999999999</v>
      </c>
      <c r="M188" s="61">
        <v>0.15459999999999999</v>
      </c>
      <c r="N188" s="61">
        <v>0.2472</v>
      </c>
      <c r="O188" s="61">
        <v>0.15459999999999999</v>
      </c>
      <c r="P188" s="61">
        <v>0.24759999999999999</v>
      </c>
      <c r="Q188" s="61">
        <v>0.15459999999999999</v>
      </c>
      <c r="R188" s="61">
        <v>0.24329999999999999</v>
      </c>
    </row>
    <row r="189" spans="1:18" x14ac:dyDescent="0.2">
      <c r="A189" s="60">
        <v>2016</v>
      </c>
      <c r="B189" s="61">
        <v>0.4022</v>
      </c>
      <c r="C189" s="62">
        <v>0.97</v>
      </c>
      <c r="D189" s="61">
        <v>0.36149999999999999</v>
      </c>
      <c r="E189" s="61">
        <v>0.36149999999999999</v>
      </c>
      <c r="F189" s="61">
        <v>0.35599999999999998</v>
      </c>
      <c r="G189" s="61">
        <v>0.36149999999999999</v>
      </c>
      <c r="H189" s="61">
        <v>0.318</v>
      </c>
      <c r="I189" s="61">
        <v>0.36149999999999999</v>
      </c>
      <c r="J189" s="61">
        <v>0.3518</v>
      </c>
      <c r="K189" s="61">
        <v>0.36149999999999999</v>
      </c>
      <c r="L189" s="61">
        <v>0.42209999999999998</v>
      </c>
      <c r="M189" s="61">
        <v>0.36149999999999999</v>
      </c>
      <c r="N189" s="61">
        <v>0.4461</v>
      </c>
      <c r="O189" s="61">
        <v>0.36149999999999999</v>
      </c>
      <c r="P189" s="61">
        <v>0.42159999999999997</v>
      </c>
      <c r="Q189" s="61">
        <v>0.36149999999999999</v>
      </c>
      <c r="R189" s="61">
        <v>0.4022</v>
      </c>
    </row>
    <row r="190" spans="1:18" x14ac:dyDescent="0.2">
      <c r="A190" s="60">
        <v>2017</v>
      </c>
      <c r="B190" s="61">
        <v>0.2969</v>
      </c>
      <c r="C190" s="62">
        <v>0.87</v>
      </c>
      <c r="D190" s="61">
        <v>0.2666</v>
      </c>
      <c r="E190" s="61">
        <v>0.2666</v>
      </c>
      <c r="F190" s="61">
        <v>0.38550000000000001</v>
      </c>
      <c r="G190" s="61">
        <v>0.2666</v>
      </c>
      <c r="H190" s="61">
        <v>0.3332</v>
      </c>
      <c r="I190" s="61">
        <v>0.2666</v>
      </c>
      <c r="J190" s="61">
        <v>0.314</v>
      </c>
      <c r="K190" s="61">
        <v>0.2666</v>
      </c>
      <c r="L190" s="61">
        <v>0.34649999999999997</v>
      </c>
      <c r="M190" s="61">
        <v>0.2666</v>
      </c>
      <c r="N190" s="61">
        <v>0.34560000000000002</v>
      </c>
      <c r="O190" s="61">
        <v>0.2666</v>
      </c>
      <c r="P190" s="61">
        <v>0.32219999999999999</v>
      </c>
      <c r="Q190" s="61">
        <v>0.2666</v>
      </c>
      <c r="R190" s="61">
        <v>0.2969</v>
      </c>
    </row>
    <row r="191" spans="1:18" x14ac:dyDescent="0.2">
      <c r="A191" s="60">
        <v>2018</v>
      </c>
      <c r="B191" s="61">
        <v>0.2094</v>
      </c>
      <c r="C191" s="62">
        <v>0.81</v>
      </c>
      <c r="D191" s="61">
        <v>0.27929999999999999</v>
      </c>
      <c r="E191" s="61">
        <v>0.27929999999999999</v>
      </c>
      <c r="F191" s="61">
        <v>0.187</v>
      </c>
      <c r="G191" s="61">
        <v>0.27929999999999999</v>
      </c>
      <c r="H191" s="61">
        <v>0.19139999999999999</v>
      </c>
      <c r="I191" s="61">
        <v>0.27929999999999999</v>
      </c>
      <c r="J191" s="61">
        <v>0.2442</v>
      </c>
      <c r="K191" s="61">
        <v>0.27929999999999999</v>
      </c>
      <c r="L191" s="61">
        <v>0.27460000000000001</v>
      </c>
      <c r="M191" s="61">
        <v>0.27929999999999999</v>
      </c>
      <c r="N191" s="61">
        <v>0.2752</v>
      </c>
      <c r="O191" s="61">
        <v>0.27929999999999999</v>
      </c>
      <c r="P191" s="61">
        <v>0.2354</v>
      </c>
      <c r="Q191" s="61">
        <v>0.27929999999999999</v>
      </c>
      <c r="R191" s="61">
        <v>0.2094</v>
      </c>
    </row>
    <row r="192" spans="1:18" x14ac:dyDescent="0.2">
      <c r="A192" s="60">
        <v>2019</v>
      </c>
      <c r="B192" s="61">
        <v>0.35699999999999998</v>
      </c>
      <c r="C192" s="62">
        <v>0.94</v>
      </c>
      <c r="D192" s="61">
        <v>0.39789999999999998</v>
      </c>
      <c r="E192" s="61">
        <v>0.39789999999999998</v>
      </c>
      <c r="F192" s="61">
        <v>0.26</v>
      </c>
      <c r="G192" s="61">
        <v>0.39789999999999998</v>
      </c>
      <c r="H192" s="61">
        <v>0.25600000000000001</v>
      </c>
      <c r="I192" s="61">
        <v>0.39789999999999998</v>
      </c>
      <c r="J192" s="61">
        <v>0.33679999999999999</v>
      </c>
      <c r="K192" s="61">
        <v>0.39789999999999998</v>
      </c>
      <c r="L192" s="61">
        <v>0.31390000000000001</v>
      </c>
      <c r="M192" s="61">
        <v>0.39789999999999998</v>
      </c>
      <c r="N192" s="61">
        <v>0.30759999999999998</v>
      </c>
      <c r="O192" s="61">
        <v>0.39789999999999998</v>
      </c>
      <c r="P192" s="61">
        <v>0.33279999999999998</v>
      </c>
      <c r="Q192" s="61">
        <v>0.39789999999999998</v>
      </c>
      <c r="R192" s="61">
        <v>0.35699999999999998</v>
      </c>
    </row>
    <row r="193" spans="1:18" x14ac:dyDescent="0.2">
      <c r="A193" s="60">
        <v>2020</v>
      </c>
      <c r="B193" s="61">
        <v>0.2676</v>
      </c>
      <c r="C193" s="62">
        <v>0.9</v>
      </c>
      <c r="D193" s="61">
        <v>0.32619999999999999</v>
      </c>
      <c r="E193" s="61">
        <v>0.32619999999999999</v>
      </c>
      <c r="F193" s="61">
        <v>0.30299999999999999</v>
      </c>
      <c r="G193" s="61">
        <v>0.32619999999999999</v>
      </c>
      <c r="H193" s="61">
        <v>0.2984</v>
      </c>
      <c r="I193" s="61">
        <v>0.32619999999999999</v>
      </c>
      <c r="J193" s="61">
        <v>0.28470000000000001</v>
      </c>
      <c r="K193" s="61">
        <v>0.32619999999999999</v>
      </c>
      <c r="L193" s="61">
        <v>0.28310000000000002</v>
      </c>
      <c r="M193" s="61">
        <v>0.32619999999999999</v>
      </c>
      <c r="N193" s="61">
        <v>0.26729999999999998</v>
      </c>
      <c r="O193" s="61">
        <v>0.32619999999999999</v>
      </c>
      <c r="P193" s="61">
        <v>0.26229999999999998</v>
      </c>
      <c r="Q193" s="61">
        <v>0.32619999999999999</v>
      </c>
      <c r="R193" s="61">
        <v>0.2676</v>
      </c>
    </row>
    <row r="194" spans="1:18" x14ac:dyDescent="0.2">
      <c r="A194" s="60">
        <v>2021</v>
      </c>
      <c r="B194" s="61">
        <v>0.312</v>
      </c>
      <c r="C194" s="62">
        <v>0.88</v>
      </c>
      <c r="D194" s="61">
        <v>0.33179999999999998</v>
      </c>
      <c r="E194" s="61">
        <v>0.33179999999999998</v>
      </c>
      <c r="F194" s="61">
        <v>0.371</v>
      </c>
      <c r="G194" s="61">
        <v>0.33179999999999998</v>
      </c>
      <c r="H194" s="61">
        <v>0.34760000000000002</v>
      </c>
      <c r="I194" s="61">
        <v>0.33179999999999998</v>
      </c>
      <c r="J194" s="61">
        <v>0.30120000000000002</v>
      </c>
      <c r="K194" s="61">
        <v>0.33179999999999998</v>
      </c>
      <c r="L194" s="61">
        <v>0.30349999999999999</v>
      </c>
      <c r="M194" s="61">
        <v>0.33179999999999998</v>
      </c>
      <c r="N194" s="61">
        <v>0.315</v>
      </c>
      <c r="O194" s="61">
        <v>0.33179999999999998</v>
      </c>
      <c r="P194" s="61">
        <v>0.30580000000000002</v>
      </c>
      <c r="Q194" s="61">
        <v>0.33179999999999998</v>
      </c>
      <c r="R194" s="61">
        <v>0.312</v>
      </c>
    </row>
    <row r="195" spans="1:18" x14ac:dyDescent="0.2">
      <c r="A195" s="60">
        <v>2022</v>
      </c>
      <c r="B195" s="61">
        <v>0.29659999999999997</v>
      </c>
      <c r="C195" s="62">
        <v>0.92</v>
      </c>
      <c r="D195" s="61">
        <v>0.37830000000000003</v>
      </c>
      <c r="E195" s="61">
        <v>0.37830000000000003</v>
      </c>
      <c r="F195" s="61">
        <v>0.4345</v>
      </c>
      <c r="G195" s="61">
        <v>0.37830000000000003</v>
      </c>
      <c r="H195" s="61">
        <v>0.4244</v>
      </c>
      <c r="I195" s="61">
        <v>0.37830000000000003</v>
      </c>
      <c r="J195" s="61">
        <v>0.35070000000000001</v>
      </c>
      <c r="K195" s="61">
        <v>0.37830000000000003</v>
      </c>
      <c r="L195" s="61">
        <v>0.34810000000000002</v>
      </c>
      <c r="M195" s="61">
        <v>0.37830000000000003</v>
      </c>
      <c r="N195" s="61">
        <v>0.32290000000000002</v>
      </c>
      <c r="O195" s="61">
        <v>0.37830000000000003</v>
      </c>
      <c r="P195" s="61">
        <v>0.30170000000000002</v>
      </c>
      <c r="Q195" s="61">
        <v>0.37830000000000003</v>
      </c>
      <c r="R195" s="61">
        <v>0.29659999999999997</v>
      </c>
    </row>
    <row r="196" spans="1:18" x14ac:dyDescent="0.2">
      <c r="A196" s="60">
        <v>2023</v>
      </c>
      <c r="B196" s="61">
        <v>0.71050000000000002</v>
      </c>
      <c r="C196" s="62">
        <v>1.25</v>
      </c>
      <c r="D196" s="61">
        <v>0.72489999999999999</v>
      </c>
      <c r="E196" s="61">
        <v>0.72489999999999999</v>
      </c>
      <c r="F196" s="61">
        <v>0.746</v>
      </c>
      <c r="G196" s="61">
        <v>0.72489999999999999</v>
      </c>
      <c r="H196" s="61">
        <v>0.76639999999999997</v>
      </c>
      <c r="I196" s="61">
        <v>0.72489999999999999</v>
      </c>
      <c r="J196" s="61">
        <v>0.71120000000000005</v>
      </c>
      <c r="K196" s="61">
        <v>0.72489999999999999</v>
      </c>
      <c r="L196" s="61">
        <v>0.67330000000000001</v>
      </c>
      <c r="M196" s="61">
        <v>0.72489999999999999</v>
      </c>
      <c r="N196" s="61">
        <v>0.67630000000000001</v>
      </c>
      <c r="O196" s="61">
        <v>0.72489999999999999</v>
      </c>
      <c r="P196" s="61">
        <v>0.69899999999999995</v>
      </c>
      <c r="Q196" s="61">
        <v>0.72489999999999999</v>
      </c>
      <c r="R196" s="61">
        <v>0.71050000000000002</v>
      </c>
    </row>
    <row r="197" spans="1:18" x14ac:dyDescent="0.2">
      <c r="A197" s="60">
        <v>2024</v>
      </c>
      <c r="B197" s="61">
        <v>0.71250000000000002</v>
      </c>
      <c r="C197" s="62">
        <v>1.24</v>
      </c>
      <c r="D197" s="61">
        <v>0.68110000000000004</v>
      </c>
      <c r="E197" s="61">
        <v>0.68110000000000004</v>
      </c>
      <c r="F197" s="61">
        <v>0.75549999999999995</v>
      </c>
      <c r="G197" s="61">
        <v>0.68110000000000004</v>
      </c>
      <c r="H197" s="61">
        <v>0.78259999999999996</v>
      </c>
      <c r="I197" s="61">
        <v>0.68110000000000004</v>
      </c>
      <c r="J197" s="61">
        <v>0.76600000000000001</v>
      </c>
      <c r="K197" s="61">
        <v>0.68110000000000004</v>
      </c>
      <c r="L197" s="61">
        <v>0.7097</v>
      </c>
      <c r="M197" s="61">
        <v>0.68110000000000004</v>
      </c>
      <c r="N197" s="61">
        <v>0.71879999999999999</v>
      </c>
      <c r="O197" s="61">
        <v>0.68110000000000004</v>
      </c>
      <c r="P197" s="61">
        <v>0.70199999999999996</v>
      </c>
      <c r="Q197" s="61">
        <v>0.68110000000000004</v>
      </c>
      <c r="R197" s="61">
        <v>0.71250000000000002</v>
      </c>
    </row>
    <row r="198" spans="1:18" x14ac:dyDescent="0.2">
      <c r="A198" s="60">
        <v>2025</v>
      </c>
      <c r="B198" s="61">
        <v>0.4909</v>
      </c>
      <c r="C198" s="62">
        <v>1.07</v>
      </c>
      <c r="D198" s="61">
        <v>0.44990000000000002</v>
      </c>
      <c r="E198" s="61">
        <v>0.44990000000000002</v>
      </c>
      <c r="F198" s="61">
        <v>0.3775</v>
      </c>
      <c r="G198" s="61">
        <v>0.44990000000000002</v>
      </c>
      <c r="H198" s="61">
        <v>0.35820000000000002</v>
      </c>
      <c r="I198" s="61">
        <v>0.44990000000000002</v>
      </c>
      <c r="J198" s="61">
        <v>0.42630000000000001</v>
      </c>
      <c r="K198" s="61">
        <v>0.44990000000000002</v>
      </c>
      <c r="L198" s="61">
        <v>0.42620000000000002</v>
      </c>
      <c r="M198" s="61">
        <v>0.44990000000000002</v>
      </c>
      <c r="N198" s="61">
        <v>0.4254</v>
      </c>
      <c r="O198" s="61">
        <v>0.44990000000000002</v>
      </c>
      <c r="P198" s="61">
        <v>0.46239999999999998</v>
      </c>
      <c r="Q198" s="61">
        <v>0.44990000000000002</v>
      </c>
      <c r="R198" s="61">
        <v>0.4909</v>
      </c>
    </row>
    <row r="200" spans="1:18" x14ac:dyDescent="0.2">
      <c r="A200" s="12"/>
    </row>
    <row r="202" spans="1:18" ht="19" customHeight="1" x14ac:dyDescent="0.2">
      <c r="A202" s="80" t="s">
        <v>209</v>
      </c>
      <c r="B202" s="80"/>
      <c r="C202" s="80"/>
      <c r="D202" s="80"/>
      <c r="E202" s="80"/>
      <c r="F202" s="80"/>
      <c r="G202" s="80"/>
      <c r="H202" s="80"/>
      <c r="I202" s="80"/>
      <c r="J202" s="80"/>
      <c r="K202" s="80"/>
      <c r="L202" s="80"/>
      <c r="M202" s="80"/>
      <c r="N202" s="80"/>
      <c r="O202" s="80"/>
      <c r="P202" s="80"/>
      <c r="Q202" s="80"/>
      <c r="R202" s="80"/>
    </row>
    <row r="203" spans="1:18" ht="26" customHeight="1" x14ac:dyDescent="0.2">
      <c r="A203" s="7" t="s">
        <v>210</v>
      </c>
      <c r="B203" s="77" t="s">
        <v>211</v>
      </c>
      <c r="C203" s="77"/>
      <c r="D203" s="77"/>
      <c r="E203" s="77"/>
      <c r="F203" s="77"/>
      <c r="G203" s="77"/>
      <c r="H203" s="77"/>
      <c r="I203" s="77"/>
      <c r="J203" s="77"/>
      <c r="K203" s="77"/>
      <c r="L203" s="77"/>
      <c r="M203" s="77"/>
      <c r="N203" s="77"/>
      <c r="O203" s="77"/>
      <c r="P203" s="77"/>
      <c r="Q203" s="77"/>
      <c r="R203" s="77"/>
    </row>
    <row r="204" spans="1:18" ht="26" customHeight="1" x14ac:dyDescent="0.2">
      <c r="A204" s="7" t="s">
        <v>212</v>
      </c>
      <c r="B204" s="77" t="s">
        <v>213</v>
      </c>
      <c r="C204" s="77"/>
      <c r="D204" s="77"/>
      <c r="E204" s="77"/>
      <c r="F204" s="77"/>
      <c r="G204" s="77"/>
      <c r="H204" s="77"/>
      <c r="I204" s="77"/>
      <c r="J204" s="77"/>
      <c r="K204" s="77"/>
      <c r="L204" s="77"/>
      <c r="M204" s="77"/>
      <c r="N204" s="77"/>
      <c r="O204" s="77"/>
      <c r="P204" s="77"/>
      <c r="Q204" s="77"/>
      <c r="R204" s="77"/>
    </row>
    <row r="205" spans="1:18" ht="26" customHeight="1" x14ac:dyDescent="0.2">
      <c r="A205" s="7" t="s">
        <v>214</v>
      </c>
      <c r="B205" s="77" t="s">
        <v>215</v>
      </c>
      <c r="C205" s="77"/>
      <c r="D205" s="77"/>
      <c r="E205" s="77"/>
      <c r="F205" s="77"/>
      <c r="G205" s="77"/>
      <c r="H205" s="77"/>
      <c r="I205" s="77"/>
      <c r="J205" s="77"/>
      <c r="K205" s="77"/>
      <c r="L205" s="77"/>
      <c r="M205" s="77"/>
      <c r="N205" s="77"/>
      <c r="O205" s="77"/>
      <c r="P205" s="77"/>
      <c r="Q205" s="77"/>
      <c r="R205" s="77"/>
    </row>
    <row r="206" spans="1:18" ht="26" customHeight="1" x14ac:dyDescent="0.2">
      <c r="A206" s="7" t="s">
        <v>216</v>
      </c>
      <c r="B206" s="77" t="s">
        <v>217</v>
      </c>
      <c r="C206" s="77"/>
      <c r="D206" s="77"/>
      <c r="E206" s="77"/>
      <c r="F206" s="77"/>
      <c r="G206" s="77"/>
      <c r="H206" s="77"/>
      <c r="I206" s="77"/>
      <c r="J206" s="77"/>
      <c r="K206" s="77"/>
      <c r="L206" s="77"/>
      <c r="M206" s="77"/>
      <c r="N206" s="77"/>
      <c r="O206" s="77"/>
      <c r="P206" s="77"/>
      <c r="Q206" s="77"/>
      <c r="R206" s="77"/>
    </row>
    <row r="207" spans="1:18" ht="26" customHeight="1" x14ac:dyDescent="0.2">
      <c r="A207" s="7" t="s">
        <v>218</v>
      </c>
      <c r="B207" s="77" t="s">
        <v>219</v>
      </c>
      <c r="C207" s="77"/>
      <c r="D207" s="77"/>
      <c r="E207" s="77"/>
      <c r="F207" s="77"/>
      <c r="G207" s="77"/>
      <c r="H207" s="77"/>
      <c r="I207" s="77"/>
      <c r="J207" s="77"/>
      <c r="K207" s="77"/>
      <c r="L207" s="77"/>
      <c r="M207" s="77"/>
      <c r="N207" s="77"/>
      <c r="O207" s="77"/>
      <c r="P207" s="77"/>
      <c r="Q207" s="77"/>
      <c r="R207" s="77"/>
    </row>
    <row r="208" spans="1:18" ht="26" customHeight="1" x14ac:dyDescent="0.2">
      <c r="A208" s="7" t="s">
        <v>220</v>
      </c>
      <c r="B208" s="77" t="s">
        <v>221</v>
      </c>
      <c r="C208" s="77"/>
      <c r="D208" s="77"/>
      <c r="E208" s="77"/>
      <c r="F208" s="77"/>
      <c r="G208" s="77"/>
      <c r="H208" s="77"/>
      <c r="I208" s="77"/>
      <c r="J208" s="77"/>
      <c r="K208" s="77"/>
      <c r="L208" s="77"/>
      <c r="M208" s="77"/>
      <c r="N208" s="77"/>
      <c r="O208" s="77"/>
      <c r="P208" s="77"/>
      <c r="Q208" s="77"/>
      <c r="R208" s="77"/>
    </row>
    <row r="209" spans="1:18" ht="26" customHeight="1" x14ac:dyDescent="0.2">
      <c r="A209" s="7" t="s">
        <v>222</v>
      </c>
      <c r="B209" s="77" t="s">
        <v>223</v>
      </c>
      <c r="C209" s="77"/>
      <c r="D209" s="77"/>
      <c r="E209" s="77"/>
      <c r="F209" s="77"/>
      <c r="G209" s="77"/>
      <c r="H209" s="77"/>
      <c r="I209" s="77"/>
      <c r="J209" s="77"/>
      <c r="K209" s="77"/>
      <c r="L209" s="77"/>
      <c r="M209" s="77"/>
      <c r="N209" s="77"/>
      <c r="O209" s="77"/>
      <c r="P209" s="77"/>
      <c r="Q209" s="77"/>
      <c r="R209" s="77"/>
    </row>
    <row r="210" spans="1:18" ht="26" customHeight="1" x14ac:dyDescent="0.2">
      <c r="A210" s="7" t="s">
        <v>224</v>
      </c>
      <c r="B210" s="77" t="s">
        <v>225</v>
      </c>
      <c r="C210" s="77"/>
      <c r="D210" s="77"/>
      <c r="E210" s="77"/>
      <c r="F210" s="77"/>
      <c r="G210" s="77"/>
      <c r="H210" s="77"/>
      <c r="I210" s="77"/>
      <c r="J210" s="77"/>
      <c r="K210" s="77"/>
      <c r="L210" s="77"/>
      <c r="M210" s="77"/>
      <c r="N210" s="77"/>
      <c r="O210" s="77"/>
      <c r="P210" s="77"/>
      <c r="Q210" s="77"/>
      <c r="R210" s="77"/>
    </row>
    <row r="211" spans="1:18" ht="26" customHeight="1" x14ac:dyDescent="0.2">
      <c r="A211" s="7" t="s">
        <v>226</v>
      </c>
      <c r="B211" s="77" t="s">
        <v>227</v>
      </c>
      <c r="C211" s="77"/>
      <c r="D211" s="77"/>
      <c r="E211" s="77"/>
      <c r="F211" s="77"/>
      <c r="G211" s="77"/>
      <c r="H211" s="77"/>
      <c r="I211" s="77"/>
      <c r="J211" s="77"/>
      <c r="K211" s="77"/>
      <c r="L211" s="77"/>
      <c r="M211" s="77"/>
      <c r="N211" s="77"/>
      <c r="O211" s="77"/>
      <c r="P211" s="77"/>
      <c r="Q211" s="77"/>
      <c r="R211" s="77"/>
    </row>
    <row r="212" spans="1:18" ht="26" customHeight="1" x14ac:dyDescent="0.2">
      <c r="A212" s="7" t="s">
        <v>228</v>
      </c>
      <c r="B212" s="77" t="s">
        <v>229</v>
      </c>
      <c r="C212" s="77"/>
      <c r="D212" s="77"/>
      <c r="E212" s="77"/>
      <c r="F212" s="77"/>
      <c r="G212" s="77"/>
      <c r="H212" s="77"/>
      <c r="I212" s="77"/>
      <c r="J212" s="77"/>
      <c r="K212" s="77"/>
      <c r="L212" s="77"/>
      <c r="M212" s="77"/>
      <c r="N212" s="77"/>
      <c r="O212" s="77"/>
      <c r="P212" s="77"/>
      <c r="Q212" s="77"/>
      <c r="R212" s="77"/>
    </row>
    <row r="214" spans="1:18" x14ac:dyDescent="0.2">
      <c r="A214" s="12"/>
    </row>
  </sheetData>
  <mergeCells count="77">
    <mergeCell ref="A1:O1"/>
    <mergeCell ref="A103:O103"/>
    <mergeCell ref="E134:O134"/>
    <mergeCell ref="E106:O106"/>
    <mergeCell ref="A46:O46"/>
    <mergeCell ref="E126:O126"/>
    <mergeCell ref="E83:O83"/>
    <mergeCell ref="C12:J12"/>
    <mergeCell ref="E133:O133"/>
    <mergeCell ref="C7:J7"/>
    <mergeCell ref="E125:O125"/>
    <mergeCell ref="A6:O6"/>
    <mergeCell ref="E97:O97"/>
    <mergeCell ref="E95:O95"/>
    <mergeCell ref="B205:R205"/>
    <mergeCell ref="E89:O89"/>
    <mergeCell ref="C8:J8"/>
    <mergeCell ref="B211:R211"/>
    <mergeCell ref="E124:O124"/>
    <mergeCell ref="E120:O120"/>
    <mergeCell ref="B209:R209"/>
    <mergeCell ref="A136:O136"/>
    <mergeCell ref="A160:R160"/>
    <mergeCell ref="A202:R202"/>
    <mergeCell ref="B204:R204"/>
    <mergeCell ref="B212:R212"/>
    <mergeCell ref="B206:R206"/>
    <mergeCell ref="B203:R203"/>
    <mergeCell ref="E121:O121"/>
    <mergeCell ref="E130:O130"/>
    <mergeCell ref="E123:O123"/>
    <mergeCell ref="E132:O132"/>
    <mergeCell ref="A2:O2"/>
    <mergeCell ref="C10:J10"/>
    <mergeCell ref="E87:O87"/>
    <mergeCell ref="C9:J9"/>
    <mergeCell ref="E90:O90"/>
    <mergeCell ref="M4:O4"/>
    <mergeCell ref="E84:O84"/>
    <mergeCell ref="E86:O86"/>
    <mergeCell ref="C13:J13"/>
    <mergeCell ref="B207:R207"/>
    <mergeCell ref="E115:O115"/>
    <mergeCell ref="E93:O93"/>
    <mergeCell ref="E122:O122"/>
    <mergeCell ref="E127:O127"/>
    <mergeCell ref="E104:O104"/>
    <mergeCell ref="E110:O110"/>
    <mergeCell ref="E119:O119"/>
    <mergeCell ref="E117:O117"/>
    <mergeCell ref="E92:O92"/>
    <mergeCell ref="E107:O107"/>
    <mergeCell ref="E94:O94"/>
    <mergeCell ref="E118:O118"/>
    <mergeCell ref="E114:O114"/>
    <mergeCell ref="E108:O108"/>
    <mergeCell ref="B208:R208"/>
    <mergeCell ref="E131:O131"/>
    <mergeCell ref="E88:O88"/>
    <mergeCell ref="B210:R210"/>
    <mergeCell ref="A5:O5"/>
    <mergeCell ref="E128:O128"/>
    <mergeCell ref="E105:O105"/>
    <mergeCell ref="E99:O99"/>
    <mergeCell ref="C11:J11"/>
    <mergeCell ref="E101:O101"/>
    <mergeCell ref="E116:O116"/>
    <mergeCell ref="E113:O113"/>
    <mergeCell ref="E91:O91"/>
    <mergeCell ref="A82:O82"/>
    <mergeCell ref="E85:O85"/>
    <mergeCell ref="E100:O100"/>
    <mergeCell ref="E109:O109"/>
    <mergeCell ref="E96:O96"/>
    <mergeCell ref="E129:O129"/>
    <mergeCell ref="E111:O111"/>
    <mergeCell ref="E98:O98"/>
  </mergeCells>
  <conditionalFormatting sqref="C97">
    <cfRule type="cellIs" dxfId="16" priority="8" operator="greaterThanOrEqual">
      <formula>0.35</formula>
    </cfRule>
    <cfRule type="cellIs" dxfId="15" priority="9" operator="between">
      <formula>0.15</formula>
      <formula>0.35</formula>
    </cfRule>
    <cfRule type="cellIs" dxfId="14" priority="10" operator="lessThan">
      <formula>0.15</formula>
    </cfRule>
  </conditionalFormatting>
  <conditionalFormatting sqref="C100">
    <cfRule type="cellIs" dxfId="13" priority="5" operator="greaterThanOrEqual">
      <formula>0.35</formula>
    </cfRule>
    <cfRule type="cellIs" dxfId="12" priority="6" operator="between">
      <formula>0.15</formula>
      <formula>0.35</formula>
    </cfRule>
    <cfRule type="cellIs" dxfId="11" priority="7" operator="lessThan">
      <formula>0.15</formula>
    </cfRule>
  </conditionalFormatting>
  <conditionalFormatting sqref="C118:C119">
    <cfRule type="cellIs" dxfId="10" priority="1" operator="greaterThanOrEqual">
      <formula>3</formula>
    </cfRule>
    <cfRule type="cellIs" dxfId="9" priority="2" operator="lessThanOrEqual">
      <formula>-3</formula>
    </cfRule>
  </conditionalFormatting>
  <conditionalFormatting sqref="C131">
    <cfRule type="expression" dxfId="8" priority="13">
      <formula>ISNUMBER(SEARCH("DIVERGENCE",$C$131))</formula>
    </cfRule>
  </conditionalFormatting>
  <conditionalFormatting sqref="C133">
    <cfRule type="expression" dxfId="7" priority="11">
      <formula>ISNUMBER(SEARCH("BREACH",$C$133))</formula>
    </cfRule>
  </conditionalFormatting>
  <conditionalFormatting sqref="C134">
    <cfRule type="expression" dxfId="6" priority="14">
      <formula>ISNUMBER(SEARCH("ACCUMULATE",$C$134))</formula>
    </cfRule>
    <cfRule type="expression" dxfId="5" priority="15">
      <formula>ISNUMBER(SEARCH("HALT",$C$134))</formula>
    </cfRule>
  </conditionalFormatting>
  <conditionalFormatting sqref="C148">
    <cfRule type="expression" dxfId="4" priority="12">
      <formula>ISNUMBER(SEARCH("WARN",$C$148))</formula>
    </cfRule>
  </conditionalFormatting>
  <conditionalFormatting sqref="M49:O79">
    <cfRule type="cellIs" dxfId="3" priority="16" operator="greaterThan">
      <formula>0.05</formula>
    </cfRule>
    <cfRule type="cellIs" dxfId="2" priority="17" operator="lessThan">
      <formula>-0.05</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6"/>
  <sheetViews>
    <sheetView showGridLines="0" workbookViewId="0">
      <pane ySplit="5" topLeftCell="A6" activePane="bottomLeft" state="frozen"/>
      <selection pane="bottomLeft" sqref="A1:H1"/>
    </sheetView>
  </sheetViews>
  <sheetFormatPr baseColWidth="10" defaultColWidth="8.83203125" defaultRowHeight="15" x14ac:dyDescent="0.2"/>
  <cols>
    <col min="1" max="1" width="34" customWidth="1"/>
    <col min="2" max="2" width="22" customWidth="1"/>
    <col min="3" max="4" width="12" customWidth="1"/>
    <col min="5" max="6" width="15" customWidth="1"/>
    <col min="7" max="7" width="12" customWidth="1"/>
    <col min="8" max="8" width="17" customWidth="1"/>
  </cols>
  <sheetData>
    <row r="1" spans="1:8" ht="17" x14ac:dyDescent="0.2">
      <c r="A1" s="85" t="s">
        <v>230</v>
      </c>
      <c r="B1" s="76"/>
      <c r="C1" s="76"/>
      <c r="D1" s="76"/>
      <c r="E1" s="76"/>
      <c r="F1" s="76"/>
      <c r="G1" s="76"/>
      <c r="H1" s="76"/>
    </row>
    <row r="2" spans="1:8" x14ac:dyDescent="0.2">
      <c r="A2" s="63" t="s">
        <v>231</v>
      </c>
    </row>
    <row r="3" spans="1:8" x14ac:dyDescent="0.2">
      <c r="A3" s="64" t="s">
        <v>232</v>
      </c>
    </row>
    <row r="5" spans="1:8" ht="30" customHeight="1" x14ac:dyDescent="0.2">
      <c r="A5" s="59" t="s">
        <v>233</v>
      </c>
      <c r="B5" s="59" t="s">
        <v>234</v>
      </c>
      <c r="C5" s="59" t="s">
        <v>235</v>
      </c>
      <c r="D5" s="59" t="s">
        <v>236</v>
      </c>
      <c r="E5" s="59" t="s">
        <v>237</v>
      </c>
      <c r="F5" s="59" t="s">
        <v>238</v>
      </c>
      <c r="G5" s="59" t="s">
        <v>239</v>
      </c>
      <c r="H5" s="59" t="s">
        <v>240</v>
      </c>
    </row>
    <row r="6" spans="1:8" x14ac:dyDescent="0.2">
      <c r="A6" s="65">
        <v>1</v>
      </c>
      <c r="B6" s="66"/>
      <c r="C6" s="67" t="str">
        <f>IF(ISNUMBER($B6),Aug2026_Live!$C$22+Aug2026_Live!$C$23*$B6,"")</f>
        <v/>
      </c>
      <c r="D6" s="20" t="str">
        <f>IF(ISNUMBER($B6),IFERROR(SQRT((Aug2026_Live!$C$23*Aug2026_Live!$C$93)^2+Aug2026_Live!$C$24^2),""),"")</f>
        <v/>
      </c>
      <c r="E6" s="68" t="str">
        <f>IF(OR($C6="",$D6="",$D6=0),"",1-NORMSDIST((Aug2026_Live!$C$17-$C6)/$D6))</f>
        <v/>
      </c>
      <c r="F6" s="69" t="str">
        <f>IF(ISNUMBER($B6),IF($B6&gt;=Aug2026_Live!$C$26,1,0),"")</f>
        <v/>
      </c>
      <c r="G6" s="67" t="str">
        <f>IF(ISNUMBER($B6),Aug2026_Live!$C$42+Aug2026_Live!$E$42*$B6,"")</f>
        <v/>
      </c>
      <c r="H6" s="68" t="str">
        <f>IFERROR(IF(OR($G6="",Aug2026_Live!$C$93=""),"",1-NORMSDIST((Aug2026_Live!$C$41-$G6)/SQRT((Aug2026_Live!$E$42*Aug2026_Live!$C$93)^2+Aug2026_Live!$G$42^2))),"")</f>
        <v/>
      </c>
    </row>
    <row r="7" spans="1:8" x14ac:dyDescent="0.2">
      <c r="A7" s="65">
        <v>2</v>
      </c>
      <c r="B7" s="66"/>
      <c r="C7" s="67" t="str">
        <f>IF(ISNUMBER($B7),Aug2026_Live!$C$22+Aug2026_Live!$C$23*$B7,"")</f>
        <v/>
      </c>
      <c r="D7" s="20" t="str">
        <f>IF(ISNUMBER($B7),IFERROR(SQRT((Aug2026_Live!$C$23*Aug2026_Live!$C$93)^2+Aug2026_Live!$C$24^2),""),"")</f>
        <v/>
      </c>
      <c r="E7" s="68" t="str">
        <f>IF(OR($C7="",$D7="",$D7=0),"",1-NORMSDIST((Aug2026_Live!$C$17-$C7)/$D7))</f>
        <v/>
      </c>
      <c r="F7" s="69" t="str">
        <f>IF(ISNUMBER($B7),IF($B7&gt;=Aug2026_Live!$C$26,1,0),"")</f>
        <v/>
      </c>
      <c r="G7" s="67" t="str">
        <f>IF(ISNUMBER($B7),Aug2026_Live!$C$42+Aug2026_Live!$E$42*$B7,"")</f>
        <v/>
      </c>
      <c r="H7" s="68" t="str">
        <f>IFERROR(IF(OR($G7="",Aug2026_Live!$C$93=""),"",1-NORMSDIST((Aug2026_Live!$C$41-$G7)/SQRT((Aug2026_Live!$E$42*Aug2026_Live!$C$93)^2+Aug2026_Live!$G$42^2))),"")</f>
        <v/>
      </c>
    </row>
    <row r="8" spans="1:8" x14ac:dyDescent="0.2">
      <c r="A8" s="65">
        <v>3</v>
      </c>
      <c r="B8" s="66"/>
      <c r="C8" s="67" t="str">
        <f>IF(ISNUMBER($B8),Aug2026_Live!$C$22+Aug2026_Live!$C$23*$B8,"")</f>
        <v/>
      </c>
      <c r="D8" s="20" t="str">
        <f>IF(ISNUMBER($B8),IFERROR(SQRT((Aug2026_Live!$C$23*Aug2026_Live!$C$93)^2+Aug2026_Live!$C$24^2),""),"")</f>
        <v/>
      </c>
      <c r="E8" s="68" t="str">
        <f>IF(OR($C8="",$D8="",$D8=0),"",1-NORMSDIST((Aug2026_Live!$C$17-$C8)/$D8))</f>
        <v/>
      </c>
      <c r="F8" s="69" t="str">
        <f>IF(ISNUMBER($B8),IF($B8&gt;=Aug2026_Live!$C$26,1,0),"")</f>
        <v/>
      </c>
      <c r="G8" s="67" t="str">
        <f>IF(ISNUMBER($B8),Aug2026_Live!$C$42+Aug2026_Live!$E$42*$B8,"")</f>
        <v/>
      </c>
      <c r="H8" s="68" t="str">
        <f>IFERROR(IF(OR($G8="",Aug2026_Live!$C$93=""),"",1-NORMSDIST((Aug2026_Live!$C$41-$G8)/SQRT((Aug2026_Live!$E$42*Aug2026_Live!$C$93)^2+Aug2026_Live!$G$42^2))),"")</f>
        <v/>
      </c>
    </row>
    <row r="9" spans="1:8" x14ac:dyDescent="0.2">
      <c r="A9" s="65">
        <v>4</v>
      </c>
      <c r="B9" s="66"/>
      <c r="C9" s="67" t="str">
        <f>IF(ISNUMBER($B9),Aug2026_Live!$C$22+Aug2026_Live!$C$23*$B9,"")</f>
        <v/>
      </c>
      <c r="D9" s="20" t="str">
        <f>IF(ISNUMBER($B9),IFERROR(SQRT((Aug2026_Live!$C$23*Aug2026_Live!$C$93)^2+Aug2026_Live!$C$24^2),""),"")</f>
        <v/>
      </c>
      <c r="E9" s="68" t="str">
        <f>IF(OR($C9="",$D9="",$D9=0),"",1-NORMSDIST((Aug2026_Live!$C$17-$C9)/$D9))</f>
        <v/>
      </c>
      <c r="F9" s="69" t="str">
        <f>IF(ISNUMBER($B9),IF($B9&gt;=Aug2026_Live!$C$26,1,0),"")</f>
        <v/>
      </c>
      <c r="G9" s="67" t="str">
        <f>IF(ISNUMBER($B9),Aug2026_Live!$C$42+Aug2026_Live!$E$42*$B9,"")</f>
        <v/>
      </c>
      <c r="H9" s="68" t="str">
        <f>IFERROR(IF(OR($G9="",Aug2026_Live!$C$93=""),"",1-NORMSDIST((Aug2026_Live!$C$41-$G9)/SQRT((Aug2026_Live!$E$42*Aug2026_Live!$C$93)^2+Aug2026_Live!$G$42^2))),"")</f>
        <v/>
      </c>
    </row>
    <row r="10" spans="1:8" x14ac:dyDescent="0.2">
      <c r="A10" s="65">
        <v>5</v>
      </c>
      <c r="B10" s="66"/>
      <c r="C10" s="67" t="str">
        <f>IF(ISNUMBER($B10),Aug2026_Live!$C$22+Aug2026_Live!$C$23*$B10,"")</f>
        <v/>
      </c>
      <c r="D10" s="20" t="str">
        <f>IF(ISNUMBER($B10),IFERROR(SQRT((Aug2026_Live!$C$23*Aug2026_Live!$C$93)^2+Aug2026_Live!$C$24^2),""),"")</f>
        <v/>
      </c>
      <c r="E10" s="68" t="str">
        <f>IF(OR($C10="",$D10="",$D10=0),"",1-NORMSDIST((Aug2026_Live!$C$17-$C10)/$D10))</f>
        <v/>
      </c>
      <c r="F10" s="69" t="str">
        <f>IF(ISNUMBER($B10),IF($B10&gt;=Aug2026_Live!$C$26,1,0),"")</f>
        <v/>
      </c>
      <c r="G10" s="67" t="str">
        <f>IF(ISNUMBER($B10),Aug2026_Live!$C$42+Aug2026_Live!$E$42*$B10,"")</f>
        <v/>
      </c>
      <c r="H10" s="68" t="str">
        <f>IFERROR(IF(OR($G10="",Aug2026_Live!$C$93=""),"",1-NORMSDIST((Aug2026_Live!$C$41-$G10)/SQRT((Aug2026_Live!$E$42*Aug2026_Live!$C$93)^2+Aug2026_Live!$G$42^2))),"")</f>
        <v/>
      </c>
    </row>
    <row r="11" spans="1:8" x14ac:dyDescent="0.2">
      <c r="A11" s="65">
        <v>6</v>
      </c>
      <c r="B11" s="66"/>
      <c r="C11" s="67" t="str">
        <f>IF(ISNUMBER($B11),Aug2026_Live!$C$22+Aug2026_Live!$C$23*$B11,"")</f>
        <v/>
      </c>
      <c r="D11" s="20" t="str">
        <f>IF(ISNUMBER($B11),IFERROR(SQRT((Aug2026_Live!$C$23*Aug2026_Live!$C$93)^2+Aug2026_Live!$C$24^2),""),"")</f>
        <v/>
      </c>
      <c r="E11" s="68" t="str">
        <f>IF(OR($C11="",$D11="",$D11=0),"",1-NORMSDIST((Aug2026_Live!$C$17-$C11)/$D11))</f>
        <v/>
      </c>
      <c r="F11" s="69" t="str">
        <f>IF(ISNUMBER($B11),IF($B11&gt;=Aug2026_Live!$C$26,1,0),"")</f>
        <v/>
      </c>
      <c r="G11" s="67" t="str">
        <f>IF(ISNUMBER($B11),Aug2026_Live!$C$42+Aug2026_Live!$E$42*$B11,"")</f>
        <v/>
      </c>
      <c r="H11" s="68" t="str">
        <f>IFERROR(IF(OR($G11="",Aug2026_Live!$C$93=""),"",1-NORMSDIST((Aug2026_Live!$C$41-$G11)/SQRT((Aug2026_Live!$E$42*Aug2026_Live!$C$93)^2+Aug2026_Live!$G$42^2))),"")</f>
        <v/>
      </c>
    </row>
    <row r="12" spans="1:8" x14ac:dyDescent="0.2">
      <c r="A12" s="65">
        <v>7</v>
      </c>
      <c r="B12" s="66"/>
      <c r="C12" s="67" t="str">
        <f>IF(ISNUMBER($B12),Aug2026_Live!$C$22+Aug2026_Live!$C$23*$B12,"")</f>
        <v/>
      </c>
      <c r="D12" s="20" t="str">
        <f>IF(ISNUMBER($B12),IFERROR(SQRT((Aug2026_Live!$C$23*Aug2026_Live!$C$93)^2+Aug2026_Live!$C$24^2),""),"")</f>
        <v/>
      </c>
      <c r="E12" s="68" t="str">
        <f>IF(OR($C12="",$D12="",$D12=0),"",1-NORMSDIST((Aug2026_Live!$C$17-$C12)/$D12))</f>
        <v/>
      </c>
      <c r="F12" s="69" t="str">
        <f>IF(ISNUMBER($B12),IF($B12&gt;=Aug2026_Live!$C$26,1,0),"")</f>
        <v/>
      </c>
      <c r="G12" s="67" t="str">
        <f>IF(ISNUMBER($B12),Aug2026_Live!$C$42+Aug2026_Live!$E$42*$B12,"")</f>
        <v/>
      </c>
      <c r="H12" s="68" t="str">
        <f>IFERROR(IF(OR($G12="",Aug2026_Live!$C$93=""),"",1-NORMSDIST((Aug2026_Live!$C$41-$G12)/SQRT((Aug2026_Live!$E$42*Aug2026_Live!$C$93)^2+Aug2026_Live!$G$42^2))),"")</f>
        <v/>
      </c>
    </row>
    <row r="13" spans="1:8" x14ac:dyDescent="0.2">
      <c r="A13" s="65">
        <v>8</v>
      </c>
      <c r="B13" s="66"/>
      <c r="C13" s="67" t="str">
        <f>IF(ISNUMBER($B13),Aug2026_Live!$C$22+Aug2026_Live!$C$23*$B13,"")</f>
        <v/>
      </c>
      <c r="D13" s="20" t="str">
        <f>IF(ISNUMBER($B13),IFERROR(SQRT((Aug2026_Live!$C$23*Aug2026_Live!$C$93)^2+Aug2026_Live!$C$24^2),""),"")</f>
        <v/>
      </c>
      <c r="E13" s="68" t="str">
        <f>IF(OR($C13="",$D13="",$D13=0),"",1-NORMSDIST((Aug2026_Live!$C$17-$C13)/$D13))</f>
        <v/>
      </c>
      <c r="F13" s="69" t="str">
        <f>IF(ISNUMBER($B13),IF($B13&gt;=Aug2026_Live!$C$26,1,0),"")</f>
        <v/>
      </c>
      <c r="G13" s="67" t="str">
        <f>IF(ISNUMBER($B13),Aug2026_Live!$C$42+Aug2026_Live!$E$42*$B13,"")</f>
        <v/>
      </c>
      <c r="H13" s="68" t="str">
        <f>IFERROR(IF(OR($G13="",Aug2026_Live!$C$93=""),"",1-NORMSDIST((Aug2026_Live!$C$41-$G13)/SQRT((Aug2026_Live!$E$42*Aug2026_Live!$C$93)^2+Aug2026_Live!$G$42^2))),"")</f>
        <v/>
      </c>
    </row>
    <row r="14" spans="1:8" x14ac:dyDescent="0.2">
      <c r="A14" s="65">
        <v>9</v>
      </c>
      <c r="B14" s="66"/>
      <c r="C14" s="67" t="str">
        <f>IF(ISNUMBER($B14),Aug2026_Live!$C$22+Aug2026_Live!$C$23*$B14,"")</f>
        <v/>
      </c>
      <c r="D14" s="20" t="str">
        <f>IF(ISNUMBER($B14),IFERROR(SQRT((Aug2026_Live!$C$23*Aug2026_Live!$C$93)^2+Aug2026_Live!$C$24^2),""),"")</f>
        <v/>
      </c>
      <c r="E14" s="68" t="str">
        <f>IF(OR($C14="",$D14="",$D14=0),"",1-NORMSDIST((Aug2026_Live!$C$17-$C14)/$D14))</f>
        <v/>
      </c>
      <c r="F14" s="69" t="str">
        <f>IF(ISNUMBER($B14),IF($B14&gt;=Aug2026_Live!$C$26,1,0),"")</f>
        <v/>
      </c>
      <c r="G14" s="67" t="str">
        <f>IF(ISNUMBER($B14),Aug2026_Live!$C$42+Aug2026_Live!$E$42*$B14,"")</f>
        <v/>
      </c>
      <c r="H14" s="68" t="str">
        <f>IFERROR(IF(OR($G14="",Aug2026_Live!$C$93=""),"",1-NORMSDIST((Aug2026_Live!$C$41-$G14)/SQRT((Aug2026_Live!$E$42*Aug2026_Live!$C$93)^2+Aug2026_Live!$G$42^2))),"")</f>
        <v/>
      </c>
    </row>
    <row r="15" spans="1:8" x14ac:dyDescent="0.2">
      <c r="A15" s="65">
        <v>10</v>
      </c>
      <c r="B15" s="66"/>
      <c r="C15" s="67" t="str">
        <f>IF(ISNUMBER($B15),Aug2026_Live!$C$22+Aug2026_Live!$C$23*$B15,"")</f>
        <v/>
      </c>
      <c r="D15" s="20" t="str">
        <f>IF(ISNUMBER($B15),IFERROR(SQRT((Aug2026_Live!$C$23*Aug2026_Live!$C$93)^2+Aug2026_Live!$C$24^2),""),"")</f>
        <v/>
      </c>
      <c r="E15" s="68" t="str">
        <f>IF(OR($C15="",$D15="",$D15=0),"",1-NORMSDIST((Aug2026_Live!$C$17-$C15)/$D15))</f>
        <v/>
      </c>
      <c r="F15" s="69" t="str">
        <f>IF(ISNUMBER($B15),IF($B15&gt;=Aug2026_Live!$C$26,1,0),"")</f>
        <v/>
      </c>
      <c r="G15" s="67" t="str">
        <f>IF(ISNUMBER($B15),Aug2026_Live!$C$42+Aug2026_Live!$E$42*$B15,"")</f>
        <v/>
      </c>
      <c r="H15" s="68" t="str">
        <f>IFERROR(IF(OR($G15="",Aug2026_Live!$C$93=""),"",1-NORMSDIST((Aug2026_Live!$C$41-$G15)/SQRT((Aug2026_Live!$E$42*Aug2026_Live!$C$93)^2+Aug2026_Live!$G$42^2))),"")</f>
        <v/>
      </c>
    </row>
    <row r="16" spans="1:8" x14ac:dyDescent="0.2">
      <c r="A16" s="65">
        <v>11</v>
      </c>
      <c r="B16" s="66"/>
      <c r="C16" s="67" t="str">
        <f>IF(ISNUMBER($B16),Aug2026_Live!$C$22+Aug2026_Live!$C$23*$B16,"")</f>
        <v/>
      </c>
      <c r="D16" s="20" t="str">
        <f>IF(ISNUMBER($B16),IFERROR(SQRT((Aug2026_Live!$C$23*Aug2026_Live!$C$93)^2+Aug2026_Live!$C$24^2),""),"")</f>
        <v/>
      </c>
      <c r="E16" s="68" t="str">
        <f>IF(OR($C16="",$D16="",$D16=0),"",1-NORMSDIST((Aug2026_Live!$C$17-$C16)/$D16))</f>
        <v/>
      </c>
      <c r="F16" s="69" t="str">
        <f>IF(ISNUMBER($B16),IF($B16&gt;=Aug2026_Live!$C$26,1,0),"")</f>
        <v/>
      </c>
      <c r="G16" s="67" t="str">
        <f>IF(ISNUMBER($B16),Aug2026_Live!$C$42+Aug2026_Live!$E$42*$B16,"")</f>
        <v/>
      </c>
      <c r="H16" s="68" t="str">
        <f>IFERROR(IF(OR($G16="",Aug2026_Live!$C$93=""),"",1-NORMSDIST((Aug2026_Live!$C$41-$G16)/SQRT((Aug2026_Live!$E$42*Aug2026_Live!$C$93)^2+Aug2026_Live!$G$42^2))),"")</f>
        <v/>
      </c>
    </row>
    <row r="17" spans="1:8" x14ac:dyDescent="0.2">
      <c r="A17" s="65">
        <v>12</v>
      </c>
      <c r="B17" s="66"/>
      <c r="C17" s="67" t="str">
        <f>IF(ISNUMBER($B17),Aug2026_Live!$C$22+Aug2026_Live!$C$23*$B17,"")</f>
        <v/>
      </c>
      <c r="D17" s="20" t="str">
        <f>IF(ISNUMBER($B17),IFERROR(SQRT((Aug2026_Live!$C$23*Aug2026_Live!$C$93)^2+Aug2026_Live!$C$24^2),""),"")</f>
        <v/>
      </c>
      <c r="E17" s="68" t="str">
        <f>IF(OR($C17="",$D17="",$D17=0),"",1-NORMSDIST((Aug2026_Live!$C$17-$C17)/$D17))</f>
        <v/>
      </c>
      <c r="F17" s="69" t="str">
        <f>IF(ISNUMBER($B17),IF($B17&gt;=Aug2026_Live!$C$26,1,0),"")</f>
        <v/>
      </c>
      <c r="G17" s="67" t="str">
        <f>IF(ISNUMBER($B17),Aug2026_Live!$C$42+Aug2026_Live!$E$42*$B17,"")</f>
        <v/>
      </c>
      <c r="H17" s="68" t="str">
        <f>IFERROR(IF(OR($G17="",Aug2026_Live!$C$93=""),"",1-NORMSDIST((Aug2026_Live!$C$41-$G17)/SQRT((Aug2026_Live!$E$42*Aug2026_Live!$C$93)^2+Aug2026_Live!$G$42^2))),"")</f>
        <v/>
      </c>
    </row>
    <row r="18" spans="1:8" x14ac:dyDescent="0.2">
      <c r="A18" s="65">
        <v>13</v>
      </c>
      <c r="B18" s="66"/>
      <c r="C18" s="67" t="str">
        <f>IF(ISNUMBER($B18),Aug2026_Live!$C$22+Aug2026_Live!$C$23*$B18,"")</f>
        <v/>
      </c>
      <c r="D18" s="20" t="str">
        <f>IF(ISNUMBER($B18),IFERROR(SQRT((Aug2026_Live!$C$23*Aug2026_Live!$C$93)^2+Aug2026_Live!$C$24^2),""),"")</f>
        <v/>
      </c>
      <c r="E18" s="68" t="str">
        <f>IF(OR($C18="",$D18="",$D18=0),"",1-NORMSDIST((Aug2026_Live!$C$17-$C18)/$D18))</f>
        <v/>
      </c>
      <c r="F18" s="69" t="str">
        <f>IF(ISNUMBER($B18),IF($B18&gt;=Aug2026_Live!$C$26,1,0),"")</f>
        <v/>
      </c>
      <c r="G18" s="67" t="str">
        <f>IF(ISNUMBER($B18),Aug2026_Live!$C$42+Aug2026_Live!$E$42*$B18,"")</f>
        <v/>
      </c>
      <c r="H18" s="68" t="str">
        <f>IFERROR(IF(OR($G18="",Aug2026_Live!$C$93=""),"",1-NORMSDIST((Aug2026_Live!$C$41-$G18)/SQRT((Aug2026_Live!$E$42*Aug2026_Live!$C$93)^2+Aug2026_Live!$G$42^2))),"")</f>
        <v/>
      </c>
    </row>
    <row r="19" spans="1:8" x14ac:dyDescent="0.2">
      <c r="A19" s="65">
        <v>14</v>
      </c>
      <c r="B19" s="66"/>
      <c r="C19" s="67" t="str">
        <f>IF(ISNUMBER($B19),Aug2026_Live!$C$22+Aug2026_Live!$C$23*$B19,"")</f>
        <v/>
      </c>
      <c r="D19" s="20" t="str">
        <f>IF(ISNUMBER($B19),IFERROR(SQRT((Aug2026_Live!$C$23*Aug2026_Live!$C$93)^2+Aug2026_Live!$C$24^2),""),"")</f>
        <v/>
      </c>
      <c r="E19" s="68" t="str">
        <f>IF(OR($C19="",$D19="",$D19=0),"",1-NORMSDIST((Aug2026_Live!$C$17-$C19)/$D19))</f>
        <v/>
      </c>
      <c r="F19" s="69" t="str">
        <f>IF(ISNUMBER($B19),IF($B19&gt;=Aug2026_Live!$C$26,1,0),"")</f>
        <v/>
      </c>
      <c r="G19" s="67" t="str">
        <f>IF(ISNUMBER($B19),Aug2026_Live!$C$42+Aug2026_Live!$E$42*$B19,"")</f>
        <v/>
      </c>
      <c r="H19" s="68" t="str">
        <f>IFERROR(IF(OR($G19="",Aug2026_Live!$C$93=""),"",1-NORMSDIST((Aug2026_Live!$C$41-$G19)/SQRT((Aug2026_Live!$E$42*Aug2026_Live!$C$93)^2+Aug2026_Live!$G$42^2))),"")</f>
        <v/>
      </c>
    </row>
    <row r="20" spans="1:8" x14ac:dyDescent="0.2">
      <c r="A20" s="65">
        <v>15</v>
      </c>
      <c r="B20" s="66"/>
      <c r="C20" s="67" t="str">
        <f>IF(ISNUMBER($B20),Aug2026_Live!$C$22+Aug2026_Live!$C$23*$B20,"")</f>
        <v/>
      </c>
      <c r="D20" s="20" t="str">
        <f>IF(ISNUMBER($B20),IFERROR(SQRT((Aug2026_Live!$C$23*Aug2026_Live!$C$93)^2+Aug2026_Live!$C$24^2),""),"")</f>
        <v/>
      </c>
      <c r="E20" s="68" t="str">
        <f>IF(OR($C20="",$D20="",$D20=0),"",1-NORMSDIST((Aug2026_Live!$C$17-$C20)/$D20))</f>
        <v/>
      </c>
      <c r="F20" s="69" t="str">
        <f>IF(ISNUMBER($B20),IF($B20&gt;=Aug2026_Live!$C$26,1,0),"")</f>
        <v/>
      </c>
      <c r="G20" s="67" t="str">
        <f>IF(ISNUMBER($B20),Aug2026_Live!$C$42+Aug2026_Live!$E$42*$B20,"")</f>
        <v/>
      </c>
      <c r="H20" s="68" t="str">
        <f>IFERROR(IF(OR($G20="",Aug2026_Live!$C$93=""),"",1-NORMSDIST((Aug2026_Live!$C$41-$G20)/SQRT((Aug2026_Live!$E$42*Aug2026_Live!$C$93)^2+Aug2026_Live!$G$42^2))),"")</f>
        <v/>
      </c>
    </row>
    <row r="21" spans="1:8" x14ac:dyDescent="0.2">
      <c r="A21" s="65">
        <v>16</v>
      </c>
      <c r="B21" s="66"/>
      <c r="C21" s="67" t="str">
        <f>IF(ISNUMBER($B21),Aug2026_Live!$C$22+Aug2026_Live!$C$23*$B21,"")</f>
        <v/>
      </c>
      <c r="D21" s="20" t="str">
        <f>IF(ISNUMBER($B21),IFERROR(SQRT((Aug2026_Live!$C$23*Aug2026_Live!$C$93)^2+Aug2026_Live!$C$24^2),""),"")</f>
        <v/>
      </c>
      <c r="E21" s="68" t="str">
        <f>IF(OR($C21="",$D21="",$D21=0),"",1-NORMSDIST((Aug2026_Live!$C$17-$C21)/$D21))</f>
        <v/>
      </c>
      <c r="F21" s="69" t="str">
        <f>IF(ISNUMBER($B21),IF($B21&gt;=Aug2026_Live!$C$26,1,0),"")</f>
        <v/>
      </c>
      <c r="G21" s="67" t="str">
        <f>IF(ISNUMBER($B21),Aug2026_Live!$C$42+Aug2026_Live!$E$42*$B21,"")</f>
        <v/>
      </c>
      <c r="H21" s="68" t="str">
        <f>IFERROR(IF(OR($G21="",Aug2026_Live!$C$93=""),"",1-NORMSDIST((Aug2026_Live!$C$41-$G21)/SQRT((Aug2026_Live!$E$42*Aug2026_Live!$C$93)^2+Aug2026_Live!$G$42^2))),"")</f>
        <v/>
      </c>
    </row>
    <row r="22" spans="1:8" x14ac:dyDescent="0.2">
      <c r="A22" s="65">
        <v>17</v>
      </c>
      <c r="B22" s="66"/>
      <c r="C22" s="67" t="str">
        <f>IF(ISNUMBER($B22),Aug2026_Live!$C$22+Aug2026_Live!$C$23*$B22,"")</f>
        <v/>
      </c>
      <c r="D22" s="20" t="str">
        <f>IF(ISNUMBER($B22),IFERROR(SQRT((Aug2026_Live!$C$23*Aug2026_Live!$C$93)^2+Aug2026_Live!$C$24^2),""),"")</f>
        <v/>
      </c>
      <c r="E22" s="68" t="str">
        <f>IF(OR($C22="",$D22="",$D22=0),"",1-NORMSDIST((Aug2026_Live!$C$17-$C22)/$D22))</f>
        <v/>
      </c>
      <c r="F22" s="69" t="str">
        <f>IF(ISNUMBER($B22),IF($B22&gt;=Aug2026_Live!$C$26,1,0),"")</f>
        <v/>
      </c>
      <c r="G22" s="67" t="str">
        <f>IF(ISNUMBER($B22),Aug2026_Live!$C$42+Aug2026_Live!$E$42*$B22,"")</f>
        <v/>
      </c>
      <c r="H22" s="68" t="str">
        <f>IFERROR(IF(OR($G22="",Aug2026_Live!$C$93=""),"",1-NORMSDIST((Aug2026_Live!$C$41-$G22)/SQRT((Aug2026_Live!$E$42*Aug2026_Live!$C$93)^2+Aug2026_Live!$G$42^2))),"")</f>
        <v/>
      </c>
    </row>
    <row r="23" spans="1:8" x14ac:dyDescent="0.2">
      <c r="A23" s="65">
        <v>18</v>
      </c>
      <c r="B23" s="66"/>
      <c r="C23" s="67" t="str">
        <f>IF(ISNUMBER($B23),Aug2026_Live!$C$22+Aug2026_Live!$C$23*$B23,"")</f>
        <v/>
      </c>
      <c r="D23" s="20" t="str">
        <f>IF(ISNUMBER($B23),IFERROR(SQRT((Aug2026_Live!$C$23*Aug2026_Live!$C$93)^2+Aug2026_Live!$C$24^2),""),"")</f>
        <v/>
      </c>
      <c r="E23" s="68" t="str">
        <f>IF(OR($C23="",$D23="",$D23=0),"",1-NORMSDIST((Aug2026_Live!$C$17-$C23)/$D23))</f>
        <v/>
      </c>
      <c r="F23" s="69" t="str">
        <f>IF(ISNUMBER($B23),IF($B23&gt;=Aug2026_Live!$C$26,1,0),"")</f>
        <v/>
      </c>
      <c r="G23" s="67" t="str">
        <f>IF(ISNUMBER($B23),Aug2026_Live!$C$42+Aug2026_Live!$E$42*$B23,"")</f>
        <v/>
      </c>
      <c r="H23" s="68" t="str">
        <f>IFERROR(IF(OR($G23="",Aug2026_Live!$C$93=""),"",1-NORMSDIST((Aug2026_Live!$C$41-$G23)/SQRT((Aug2026_Live!$E$42*Aug2026_Live!$C$93)^2+Aug2026_Live!$G$42^2))),"")</f>
        <v/>
      </c>
    </row>
    <row r="24" spans="1:8" x14ac:dyDescent="0.2">
      <c r="A24" s="65">
        <v>19</v>
      </c>
      <c r="B24" s="66"/>
      <c r="C24" s="67" t="str">
        <f>IF(ISNUMBER($B24),Aug2026_Live!$C$22+Aug2026_Live!$C$23*$B24,"")</f>
        <v/>
      </c>
      <c r="D24" s="20" t="str">
        <f>IF(ISNUMBER($B24),IFERROR(SQRT((Aug2026_Live!$C$23*Aug2026_Live!$C$93)^2+Aug2026_Live!$C$24^2),""),"")</f>
        <v/>
      </c>
      <c r="E24" s="68" t="str">
        <f>IF(OR($C24="",$D24="",$D24=0),"",1-NORMSDIST((Aug2026_Live!$C$17-$C24)/$D24))</f>
        <v/>
      </c>
      <c r="F24" s="69" t="str">
        <f>IF(ISNUMBER($B24),IF($B24&gt;=Aug2026_Live!$C$26,1,0),"")</f>
        <v/>
      </c>
      <c r="G24" s="67" t="str">
        <f>IF(ISNUMBER($B24),Aug2026_Live!$C$42+Aug2026_Live!$E$42*$B24,"")</f>
        <v/>
      </c>
      <c r="H24" s="68" t="str">
        <f>IFERROR(IF(OR($G24="",Aug2026_Live!$C$93=""),"",1-NORMSDIST((Aug2026_Live!$C$41-$G24)/SQRT((Aug2026_Live!$E$42*Aug2026_Live!$C$93)^2+Aug2026_Live!$G$42^2))),"")</f>
        <v/>
      </c>
    </row>
    <row r="25" spans="1:8" x14ac:dyDescent="0.2">
      <c r="A25" s="65">
        <v>20</v>
      </c>
      <c r="B25" s="66"/>
      <c r="C25" s="67" t="str">
        <f>IF(ISNUMBER($B25),Aug2026_Live!$C$22+Aug2026_Live!$C$23*$B25,"")</f>
        <v/>
      </c>
      <c r="D25" s="20" t="str">
        <f>IF(ISNUMBER($B25),IFERROR(SQRT((Aug2026_Live!$C$23*Aug2026_Live!$C$93)^2+Aug2026_Live!$C$24^2),""),"")</f>
        <v/>
      </c>
      <c r="E25" s="68" t="str">
        <f>IF(OR($C25="",$D25="",$D25=0),"",1-NORMSDIST((Aug2026_Live!$C$17-$C25)/$D25))</f>
        <v/>
      </c>
      <c r="F25" s="69" t="str">
        <f>IF(ISNUMBER($B25),IF($B25&gt;=Aug2026_Live!$C$26,1,0),"")</f>
        <v/>
      </c>
      <c r="G25" s="67" t="str">
        <f>IF(ISNUMBER($B25),Aug2026_Live!$C$42+Aug2026_Live!$E$42*$B25,"")</f>
        <v/>
      </c>
      <c r="H25" s="68" t="str">
        <f>IFERROR(IF(OR($G25="",Aug2026_Live!$C$93=""),"",1-NORMSDIST((Aug2026_Live!$C$41-$G25)/SQRT((Aug2026_Live!$E$42*Aug2026_Live!$C$93)^2+Aug2026_Live!$G$42^2))),"")</f>
        <v/>
      </c>
    </row>
    <row r="26" spans="1:8" x14ac:dyDescent="0.2">
      <c r="A26" s="65">
        <v>21</v>
      </c>
      <c r="B26" s="66"/>
      <c r="C26" s="67" t="str">
        <f>IF(ISNUMBER($B26),Aug2026_Live!$C$22+Aug2026_Live!$C$23*$B26,"")</f>
        <v/>
      </c>
      <c r="D26" s="20" t="str">
        <f>IF(ISNUMBER($B26),IFERROR(SQRT((Aug2026_Live!$C$23*Aug2026_Live!$C$93)^2+Aug2026_Live!$C$24^2),""),"")</f>
        <v/>
      </c>
      <c r="E26" s="68" t="str">
        <f>IF(OR($C26="",$D26="",$D26=0),"",1-NORMSDIST((Aug2026_Live!$C$17-$C26)/$D26))</f>
        <v/>
      </c>
      <c r="F26" s="69" t="str">
        <f>IF(ISNUMBER($B26),IF($B26&gt;=Aug2026_Live!$C$26,1,0),"")</f>
        <v/>
      </c>
      <c r="G26" s="67" t="str">
        <f>IF(ISNUMBER($B26),Aug2026_Live!$C$42+Aug2026_Live!$E$42*$B26,"")</f>
        <v/>
      </c>
      <c r="H26" s="68" t="str">
        <f>IFERROR(IF(OR($G26="",Aug2026_Live!$C$93=""),"",1-NORMSDIST((Aug2026_Live!$C$41-$G26)/SQRT((Aug2026_Live!$E$42*Aug2026_Live!$C$93)^2+Aug2026_Live!$G$42^2))),"")</f>
        <v/>
      </c>
    </row>
    <row r="27" spans="1:8" x14ac:dyDescent="0.2">
      <c r="A27" s="65">
        <v>22</v>
      </c>
      <c r="B27" s="66"/>
      <c r="C27" s="67" t="str">
        <f>IF(ISNUMBER($B27),Aug2026_Live!$C$22+Aug2026_Live!$C$23*$B27,"")</f>
        <v/>
      </c>
      <c r="D27" s="20" t="str">
        <f>IF(ISNUMBER($B27),IFERROR(SQRT((Aug2026_Live!$C$23*Aug2026_Live!$C$93)^2+Aug2026_Live!$C$24^2),""),"")</f>
        <v/>
      </c>
      <c r="E27" s="68" t="str">
        <f>IF(OR($C27="",$D27="",$D27=0),"",1-NORMSDIST((Aug2026_Live!$C$17-$C27)/$D27))</f>
        <v/>
      </c>
      <c r="F27" s="69" t="str">
        <f>IF(ISNUMBER($B27),IF($B27&gt;=Aug2026_Live!$C$26,1,0),"")</f>
        <v/>
      </c>
      <c r="G27" s="67" t="str">
        <f>IF(ISNUMBER($B27),Aug2026_Live!$C$42+Aug2026_Live!$E$42*$B27,"")</f>
        <v/>
      </c>
      <c r="H27" s="68" t="str">
        <f>IFERROR(IF(OR($G27="",Aug2026_Live!$C$93=""),"",1-NORMSDIST((Aug2026_Live!$C$41-$G27)/SQRT((Aug2026_Live!$E$42*Aug2026_Live!$C$93)^2+Aug2026_Live!$G$42^2))),"")</f>
        <v/>
      </c>
    </row>
    <row r="28" spans="1:8" x14ac:dyDescent="0.2">
      <c r="A28" s="65">
        <v>23</v>
      </c>
      <c r="B28" s="66"/>
      <c r="C28" s="67" t="str">
        <f>IF(ISNUMBER($B28),Aug2026_Live!$C$22+Aug2026_Live!$C$23*$B28,"")</f>
        <v/>
      </c>
      <c r="D28" s="20" t="str">
        <f>IF(ISNUMBER($B28),IFERROR(SQRT((Aug2026_Live!$C$23*Aug2026_Live!$C$93)^2+Aug2026_Live!$C$24^2),""),"")</f>
        <v/>
      </c>
      <c r="E28" s="68" t="str">
        <f>IF(OR($C28="",$D28="",$D28=0),"",1-NORMSDIST((Aug2026_Live!$C$17-$C28)/$D28))</f>
        <v/>
      </c>
      <c r="F28" s="69" t="str">
        <f>IF(ISNUMBER($B28),IF($B28&gt;=Aug2026_Live!$C$26,1,0),"")</f>
        <v/>
      </c>
      <c r="G28" s="67" t="str">
        <f>IF(ISNUMBER($B28),Aug2026_Live!$C$42+Aug2026_Live!$E$42*$B28,"")</f>
        <v/>
      </c>
      <c r="H28" s="68" t="str">
        <f>IFERROR(IF(OR($G28="",Aug2026_Live!$C$93=""),"",1-NORMSDIST((Aug2026_Live!$C$41-$G28)/SQRT((Aug2026_Live!$E$42*Aug2026_Live!$C$93)^2+Aug2026_Live!$G$42^2))),"")</f>
        <v/>
      </c>
    </row>
    <row r="29" spans="1:8" x14ac:dyDescent="0.2">
      <c r="A29" s="65">
        <v>24</v>
      </c>
      <c r="B29" s="66"/>
      <c r="C29" s="67" t="str">
        <f>IF(ISNUMBER($B29),Aug2026_Live!$C$22+Aug2026_Live!$C$23*$B29,"")</f>
        <v/>
      </c>
      <c r="D29" s="20" t="str">
        <f>IF(ISNUMBER($B29),IFERROR(SQRT((Aug2026_Live!$C$23*Aug2026_Live!$C$93)^2+Aug2026_Live!$C$24^2),""),"")</f>
        <v/>
      </c>
      <c r="E29" s="68" t="str">
        <f>IF(OR($C29="",$D29="",$D29=0),"",1-NORMSDIST((Aug2026_Live!$C$17-$C29)/$D29))</f>
        <v/>
      </c>
      <c r="F29" s="69" t="str">
        <f>IF(ISNUMBER($B29),IF($B29&gt;=Aug2026_Live!$C$26,1,0),"")</f>
        <v/>
      </c>
      <c r="G29" s="67" t="str">
        <f>IF(ISNUMBER($B29),Aug2026_Live!$C$42+Aug2026_Live!$E$42*$B29,"")</f>
        <v/>
      </c>
      <c r="H29" s="68" t="str">
        <f>IFERROR(IF(OR($G29="",Aug2026_Live!$C$93=""),"",1-NORMSDIST((Aug2026_Live!$C$41-$G29)/SQRT((Aug2026_Live!$E$42*Aug2026_Live!$C$93)^2+Aug2026_Live!$G$42^2))),"")</f>
        <v/>
      </c>
    </row>
    <row r="30" spans="1:8" x14ac:dyDescent="0.2">
      <c r="A30" s="65">
        <v>25</v>
      </c>
      <c r="B30" s="66"/>
      <c r="C30" s="67" t="str">
        <f>IF(ISNUMBER($B30),Aug2026_Live!$C$22+Aug2026_Live!$C$23*$B30,"")</f>
        <v/>
      </c>
      <c r="D30" s="20" t="str">
        <f>IF(ISNUMBER($B30),IFERROR(SQRT((Aug2026_Live!$C$23*Aug2026_Live!$C$93)^2+Aug2026_Live!$C$24^2),""),"")</f>
        <v/>
      </c>
      <c r="E30" s="68" t="str">
        <f>IF(OR($C30="",$D30="",$D30=0),"",1-NORMSDIST((Aug2026_Live!$C$17-$C30)/$D30))</f>
        <v/>
      </c>
      <c r="F30" s="69" t="str">
        <f>IF(ISNUMBER($B30),IF($B30&gt;=Aug2026_Live!$C$26,1,0),"")</f>
        <v/>
      </c>
      <c r="G30" s="67" t="str">
        <f>IF(ISNUMBER($B30),Aug2026_Live!$C$42+Aug2026_Live!$E$42*$B30,"")</f>
        <v/>
      </c>
      <c r="H30" s="68" t="str">
        <f>IFERROR(IF(OR($G30="",Aug2026_Live!$C$93=""),"",1-NORMSDIST((Aug2026_Live!$C$41-$G30)/SQRT((Aug2026_Live!$E$42*Aug2026_Live!$C$93)^2+Aug2026_Live!$G$42^2))),"")</f>
        <v/>
      </c>
    </row>
    <row r="31" spans="1:8" x14ac:dyDescent="0.2">
      <c r="A31" s="65">
        <v>26</v>
      </c>
      <c r="B31" s="66"/>
      <c r="C31" s="67" t="str">
        <f>IF(ISNUMBER($B31),Aug2026_Live!$C$22+Aug2026_Live!$C$23*$B31,"")</f>
        <v/>
      </c>
      <c r="D31" s="20" t="str">
        <f>IF(ISNUMBER($B31),IFERROR(SQRT((Aug2026_Live!$C$23*Aug2026_Live!$C$93)^2+Aug2026_Live!$C$24^2),""),"")</f>
        <v/>
      </c>
      <c r="E31" s="68" t="str">
        <f>IF(OR($C31="",$D31="",$D31=0),"",1-NORMSDIST((Aug2026_Live!$C$17-$C31)/$D31))</f>
        <v/>
      </c>
      <c r="F31" s="69" t="str">
        <f>IF(ISNUMBER($B31),IF($B31&gt;=Aug2026_Live!$C$26,1,0),"")</f>
        <v/>
      </c>
      <c r="G31" s="67" t="str">
        <f>IF(ISNUMBER($B31),Aug2026_Live!$C$42+Aug2026_Live!$E$42*$B31,"")</f>
        <v/>
      </c>
      <c r="H31" s="68" t="str">
        <f>IFERROR(IF(OR($G31="",Aug2026_Live!$C$93=""),"",1-NORMSDIST((Aug2026_Live!$C$41-$G31)/SQRT((Aug2026_Live!$E$42*Aug2026_Live!$C$93)^2+Aug2026_Live!$G$42^2))),"")</f>
        <v/>
      </c>
    </row>
    <row r="32" spans="1:8" x14ac:dyDescent="0.2">
      <c r="A32" s="65">
        <v>27</v>
      </c>
      <c r="B32" s="66"/>
      <c r="C32" s="67" t="str">
        <f>IF(ISNUMBER($B32),Aug2026_Live!$C$22+Aug2026_Live!$C$23*$B32,"")</f>
        <v/>
      </c>
      <c r="D32" s="20" t="str">
        <f>IF(ISNUMBER($B32),IFERROR(SQRT((Aug2026_Live!$C$23*Aug2026_Live!$C$93)^2+Aug2026_Live!$C$24^2),""),"")</f>
        <v/>
      </c>
      <c r="E32" s="68" t="str">
        <f>IF(OR($C32="",$D32="",$D32=0),"",1-NORMSDIST((Aug2026_Live!$C$17-$C32)/$D32))</f>
        <v/>
      </c>
      <c r="F32" s="69" t="str">
        <f>IF(ISNUMBER($B32),IF($B32&gt;=Aug2026_Live!$C$26,1,0),"")</f>
        <v/>
      </c>
      <c r="G32" s="67" t="str">
        <f>IF(ISNUMBER($B32),Aug2026_Live!$C$42+Aug2026_Live!$E$42*$B32,"")</f>
        <v/>
      </c>
      <c r="H32" s="68" t="str">
        <f>IFERROR(IF(OR($G32="",Aug2026_Live!$C$93=""),"",1-NORMSDIST((Aug2026_Live!$C$41-$G32)/SQRT((Aug2026_Live!$E$42*Aug2026_Live!$C$93)^2+Aug2026_Live!$G$42^2))),"")</f>
        <v/>
      </c>
    </row>
    <row r="33" spans="1:8" x14ac:dyDescent="0.2">
      <c r="A33" s="65">
        <v>28</v>
      </c>
      <c r="B33" s="66"/>
      <c r="C33" s="67" t="str">
        <f>IF(ISNUMBER($B33),Aug2026_Live!$C$22+Aug2026_Live!$C$23*$B33,"")</f>
        <v/>
      </c>
      <c r="D33" s="20" t="str">
        <f>IF(ISNUMBER($B33),IFERROR(SQRT((Aug2026_Live!$C$23*Aug2026_Live!$C$93)^2+Aug2026_Live!$C$24^2),""),"")</f>
        <v/>
      </c>
      <c r="E33" s="68" t="str">
        <f>IF(OR($C33="",$D33="",$D33=0),"",1-NORMSDIST((Aug2026_Live!$C$17-$C33)/$D33))</f>
        <v/>
      </c>
      <c r="F33" s="69" t="str">
        <f>IF(ISNUMBER($B33),IF($B33&gt;=Aug2026_Live!$C$26,1,0),"")</f>
        <v/>
      </c>
      <c r="G33" s="67" t="str">
        <f>IF(ISNUMBER($B33),Aug2026_Live!$C$42+Aug2026_Live!$E$42*$B33,"")</f>
        <v/>
      </c>
      <c r="H33" s="68" t="str">
        <f>IFERROR(IF(OR($G33="",Aug2026_Live!$C$93=""),"",1-NORMSDIST((Aug2026_Live!$C$41-$G33)/SQRT((Aug2026_Live!$E$42*Aug2026_Live!$C$93)^2+Aug2026_Live!$G$42^2))),"")</f>
        <v/>
      </c>
    </row>
    <row r="34" spans="1:8" x14ac:dyDescent="0.2">
      <c r="A34" s="65">
        <v>29</v>
      </c>
      <c r="B34" s="66"/>
      <c r="C34" s="67" t="str">
        <f>IF(ISNUMBER($B34),Aug2026_Live!$C$22+Aug2026_Live!$C$23*$B34,"")</f>
        <v/>
      </c>
      <c r="D34" s="20" t="str">
        <f>IF(ISNUMBER($B34),IFERROR(SQRT((Aug2026_Live!$C$23*Aug2026_Live!$C$93)^2+Aug2026_Live!$C$24^2),""),"")</f>
        <v/>
      </c>
      <c r="E34" s="68" t="str">
        <f>IF(OR($C34="",$D34="",$D34=0),"",1-NORMSDIST((Aug2026_Live!$C$17-$C34)/$D34))</f>
        <v/>
      </c>
      <c r="F34" s="69" t="str">
        <f>IF(ISNUMBER($B34),IF($B34&gt;=Aug2026_Live!$C$26,1,0),"")</f>
        <v/>
      </c>
      <c r="G34" s="67" t="str">
        <f>IF(ISNUMBER($B34),Aug2026_Live!$C$42+Aug2026_Live!$E$42*$B34,"")</f>
        <v/>
      </c>
      <c r="H34" s="68" t="str">
        <f>IFERROR(IF(OR($G34="",Aug2026_Live!$C$93=""),"",1-NORMSDIST((Aug2026_Live!$C$41-$G34)/SQRT((Aug2026_Live!$E$42*Aug2026_Live!$C$93)^2+Aug2026_Live!$G$42^2))),"")</f>
        <v/>
      </c>
    </row>
    <row r="35" spans="1:8" x14ac:dyDescent="0.2">
      <c r="A35" s="65">
        <v>30</v>
      </c>
      <c r="B35" s="66"/>
      <c r="C35" s="67" t="str">
        <f>IF(ISNUMBER($B35),Aug2026_Live!$C$22+Aug2026_Live!$C$23*$B35,"")</f>
        <v/>
      </c>
      <c r="D35" s="20" t="str">
        <f>IF(ISNUMBER($B35),IFERROR(SQRT((Aug2026_Live!$C$23*Aug2026_Live!$C$93)^2+Aug2026_Live!$C$24^2),""),"")</f>
        <v/>
      </c>
      <c r="E35" s="68" t="str">
        <f>IF(OR($C35="",$D35="",$D35=0),"",1-NORMSDIST((Aug2026_Live!$C$17-$C35)/$D35))</f>
        <v/>
      </c>
      <c r="F35" s="69" t="str">
        <f>IF(ISNUMBER($B35),IF($B35&gt;=Aug2026_Live!$C$26,1,0),"")</f>
        <v/>
      </c>
      <c r="G35" s="67" t="str">
        <f>IF(ISNUMBER($B35),Aug2026_Live!$C$42+Aug2026_Live!$E$42*$B35,"")</f>
        <v/>
      </c>
      <c r="H35" s="68" t="str">
        <f>IFERROR(IF(OR($G35="",Aug2026_Live!$C$93=""),"",1-NORMSDIST((Aug2026_Live!$C$41-$G35)/SQRT((Aug2026_Live!$E$42*Aug2026_Live!$C$93)^2+Aug2026_Live!$G$42^2))),"")</f>
        <v/>
      </c>
    </row>
    <row r="36" spans="1:8" x14ac:dyDescent="0.2">
      <c r="A36" s="65">
        <v>31</v>
      </c>
      <c r="B36" s="66"/>
      <c r="C36" s="67" t="str">
        <f>IF(ISNUMBER($B36),Aug2026_Live!$C$22+Aug2026_Live!$C$23*$B36,"")</f>
        <v/>
      </c>
      <c r="D36" s="20" t="str">
        <f>IF(ISNUMBER($B36),IFERROR(SQRT((Aug2026_Live!$C$23*Aug2026_Live!$C$93)^2+Aug2026_Live!$C$24^2),""),"")</f>
        <v/>
      </c>
      <c r="E36" s="68" t="str">
        <f>IF(OR($C36="",$D36="",$D36=0),"",1-NORMSDIST((Aug2026_Live!$C$17-$C36)/$D36))</f>
        <v/>
      </c>
      <c r="F36" s="69" t="str">
        <f>IF(ISNUMBER($B36),IF($B36&gt;=Aug2026_Live!$C$26,1,0),"")</f>
        <v/>
      </c>
      <c r="G36" s="67" t="str">
        <f>IF(ISNUMBER($B36),Aug2026_Live!$C$42+Aug2026_Live!$E$42*$B36,"")</f>
        <v/>
      </c>
      <c r="H36" s="68" t="str">
        <f>IFERROR(IF(OR($G36="",Aug2026_Live!$C$93=""),"",1-NORMSDIST((Aug2026_Live!$C$41-$G36)/SQRT((Aug2026_Live!$E$42*Aug2026_Live!$C$93)^2+Aug2026_Live!$G$42^2))),"")</f>
        <v/>
      </c>
    </row>
    <row r="37" spans="1:8" x14ac:dyDescent="0.2">
      <c r="A37" s="65">
        <v>32</v>
      </c>
      <c r="B37" s="66"/>
      <c r="C37" s="67" t="str">
        <f>IF(ISNUMBER($B37),Aug2026_Live!$C$22+Aug2026_Live!$C$23*$B37,"")</f>
        <v/>
      </c>
      <c r="D37" s="20" t="str">
        <f>IF(ISNUMBER($B37),IFERROR(SQRT((Aug2026_Live!$C$23*Aug2026_Live!$C$93)^2+Aug2026_Live!$C$24^2),""),"")</f>
        <v/>
      </c>
      <c r="E37" s="68" t="str">
        <f>IF(OR($C37="",$D37="",$D37=0),"",1-NORMSDIST((Aug2026_Live!$C$17-$C37)/$D37))</f>
        <v/>
      </c>
      <c r="F37" s="69" t="str">
        <f>IF(ISNUMBER($B37),IF($B37&gt;=Aug2026_Live!$C$26,1,0),"")</f>
        <v/>
      </c>
      <c r="G37" s="67" t="str">
        <f>IF(ISNUMBER($B37),Aug2026_Live!$C$42+Aug2026_Live!$E$42*$B37,"")</f>
        <v/>
      </c>
      <c r="H37" s="68" t="str">
        <f>IFERROR(IF(OR($G37="",Aug2026_Live!$C$93=""),"",1-NORMSDIST((Aug2026_Live!$C$41-$G37)/SQRT((Aug2026_Live!$E$42*Aug2026_Live!$C$93)^2+Aug2026_Live!$G$42^2))),"")</f>
        <v/>
      </c>
    </row>
    <row r="38" spans="1:8" x14ac:dyDescent="0.2">
      <c r="A38" s="65">
        <v>33</v>
      </c>
      <c r="B38" s="66"/>
      <c r="C38" s="67" t="str">
        <f>IF(ISNUMBER($B38),Aug2026_Live!$C$22+Aug2026_Live!$C$23*$B38,"")</f>
        <v/>
      </c>
      <c r="D38" s="20" t="str">
        <f>IF(ISNUMBER($B38),IFERROR(SQRT((Aug2026_Live!$C$23*Aug2026_Live!$C$93)^2+Aug2026_Live!$C$24^2),""),"")</f>
        <v/>
      </c>
      <c r="E38" s="68" t="str">
        <f>IF(OR($C38="",$D38="",$D38=0),"",1-NORMSDIST((Aug2026_Live!$C$17-$C38)/$D38))</f>
        <v/>
      </c>
      <c r="F38" s="69" t="str">
        <f>IF(ISNUMBER($B38),IF($B38&gt;=Aug2026_Live!$C$26,1,0),"")</f>
        <v/>
      </c>
      <c r="G38" s="67" t="str">
        <f>IF(ISNUMBER($B38),Aug2026_Live!$C$42+Aug2026_Live!$E$42*$B38,"")</f>
        <v/>
      </c>
      <c r="H38" s="68" t="str">
        <f>IFERROR(IF(OR($G38="",Aug2026_Live!$C$93=""),"",1-NORMSDIST((Aug2026_Live!$C$41-$G38)/SQRT((Aug2026_Live!$E$42*Aug2026_Live!$C$93)^2+Aug2026_Live!$G$42^2))),"")</f>
        <v/>
      </c>
    </row>
    <row r="39" spans="1:8" x14ac:dyDescent="0.2">
      <c r="A39" s="65">
        <v>34</v>
      </c>
      <c r="B39" s="66"/>
      <c r="C39" s="67" t="str">
        <f>IF(ISNUMBER($B39),Aug2026_Live!$C$22+Aug2026_Live!$C$23*$B39,"")</f>
        <v/>
      </c>
      <c r="D39" s="20" t="str">
        <f>IF(ISNUMBER($B39),IFERROR(SQRT((Aug2026_Live!$C$23*Aug2026_Live!$C$93)^2+Aug2026_Live!$C$24^2),""),"")</f>
        <v/>
      </c>
      <c r="E39" s="68" t="str">
        <f>IF(OR($C39="",$D39="",$D39=0),"",1-NORMSDIST((Aug2026_Live!$C$17-$C39)/$D39))</f>
        <v/>
      </c>
      <c r="F39" s="69" t="str">
        <f>IF(ISNUMBER($B39),IF($B39&gt;=Aug2026_Live!$C$26,1,0),"")</f>
        <v/>
      </c>
      <c r="G39" s="67" t="str">
        <f>IF(ISNUMBER($B39),Aug2026_Live!$C$42+Aug2026_Live!$E$42*$B39,"")</f>
        <v/>
      </c>
      <c r="H39" s="68" t="str">
        <f>IFERROR(IF(OR($G39="",Aug2026_Live!$C$93=""),"",1-NORMSDIST((Aug2026_Live!$C$41-$G39)/SQRT((Aug2026_Live!$E$42*Aug2026_Live!$C$93)^2+Aug2026_Live!$G$42^2))),"")</f>
        <v/>
      </c>
    </row>
    <row r="40" spans="1:8" x14ac:dyDescent="0.2">
      <c r="A40" s="65">
        <v>35</v>
      </c>
      <c r="B40" s="66"/>
      <c r="C40" s="67" t="str">
        <f>IF(ISNUMBER($B40),Aug2026_Live!$C$22+Aug2026_Live!$C$23*$B40,"")</f>
        <v/>
      </c>
      <c r="D40" s="20" t="str">
        <f>IF(ISNUMBER($B40),IFERROR(SQRT((Aug2026_Live!$C$23*Aug2026_Live!$C$93)^2+Aug2026_Live!$C$24^2),""),"")</f>
        <v/>
      </c>
      <c r="E40" s="68" t="str">
        <f>IF(OR($C40="",$D40="",$D40=0),"",1-NORMSDIST((Aug2026_Live!$C$17-$C40)/$D40))</f>
        <v/>
      </c>
      <c r="F40" s="69" t="str">
        <f>IF(ISNUMBER($B40),IF($B40&gt;=Aug2026_Live!$C$26,1,0),"")</f>
        <v/>
      </c>
      <c r="G40" s="67" t="str">
        <f>IF(ISNUMBER($B40),Aug2026_Live!$C$42+Aug2026_Live!$E$42*$B40,"")</f>
        <v/>
      </c>
      <c r="H40" s="68" t="str">
        <f>IFERROR(IF(OR($G40="",Aug2026_Live!$C$93=""),"",1-NORMSDIST((Aug2026_Live!$C$41-$G40)/SQRT((Aug2026_Live!$E$42*Aug2026_Live!$C$93)^2+Aug2026_Live!$G$42^2))),"")</f>
        <v/>
      </c>
    </row>
    <row r="41" spans="1:8" x14ac:dyDescent="0.2">
      <c r="A41" s="65">
        <v>36</v>
      </c>
      <c r="B41" s="66"/>
      <c r="C41" s="67" t="str">
        <f>IF(ISNUMBER($B41),Aug2026_Live!$C$22+Aug2026_Live!$C$23*$B41,"")</f>
        <v/>
      </c>
      <c r="D41" s="20" t="str">
        <f>IF(ISNUMBER($B41),IFERROR(SQRT((Aug2026_Live!$C$23*Aug2026_Live!$C$93)^2+Aug2026_Live!$C$24^2),""),"")</f>
        <v/>
      </c>
      <c r="E41" s="68" t="str">
        <f>IF(OR($C41="",$D41="",$D41=0),"",1-NORMSDIST((Aug2026_Live!$C$17-$C41)/$D41))</f>
        <v/>
      </c>
      <c r="F41" s="69" t="str">
        <f>IF(ISNUMBER($B41),IF($B41&gt;=Aug2026_Live!$C$26,1,0),"")</f>
        <v/>
      </c>
      <c r="G41" s="67" t="str">
        <f>IF(ISNUMBER($B41),Aug2026_Live!$C$42+Aug2026_Live!$E$42*$B41,"")</f>
        <v/>
      </c>
      <c r="H41" s="68" t="str">
        <f>IFERROR(IF(OR($G41="",Aug2026_Live!$C$93=""),"",1-NORMSDIST((Aug2026_Live!$C$41-$G41)/SQRT((Aug2026_Live!$E$42*Aug2026_Live!$C$93)^2+Aug2026_Live!$G$42^2))),"")</f>
        <v/>
      </c>
    </row>
    <row r="42" spans="1:8" x14ac:dyDescent="0.2">
      <c r="A42" s="65">
        <v>37</v>
      </c>
      <c r="B42" s="66"/>
      <c r="C42" s="67" t="str">
        <f>IF(ISNUMBER($B42),Aug2026_Live!$C$22+Aug2026_Live!$C$23*$B42,"")</f>
        <v/>
      </c>
      <c r="D42" s="20" t="str">
        <f>IF(ISNUMBER($B42),IFERROR(SQRT((Aug2026_Live!$C$23*Aug2026_Live!$C$93)^2+Aug2026_Live!$C$24^2),""),"")</f>
        <v/>
      </c>
      <c r="E42" s="68" t="str">
        <f>IF(OR($C42="",$D42="",$D42=0),"",1-NORMSDIST((Aug2026_Live!$C$17-$C42)/$D42))</f>
        <v/>
      </c>
      <c r="F42" s="69" t="str">
        <f>IF(ISNUMBER($B42),IF($B42&gt;=Aug2026_Live!$C$26,1,0),"")</f>
        <v/>
      </c>
      <c r="G42" s="67" t="str">
        <f>IF(ISNUMBER($B42),Aug2026_Live!$C$42+Aug2026_Live!$E$42*$B42,"")</f>
        <v/>
      </c>
      <c r="H42" s="68" t="str">
        <f>IFERROR(IF(OR($G42="",Aug2026_Live!$C$93=""),"",1-NORMSDIST((Aug2026_Live!$C$41-$G42)/SQRT((Aug2026_Live!$E$42*Aug2026_Live!$C$93)^2+Aug2026_Live!$G$42^2))),"")</f>
        <v/>
      </c>
    </row>
    <row r="43" spans="1:8" x14ac:dyDescent="0.2">
      <c r="A43" s="65">
        <v>38</v>
      </c>
      <c r="B43" s="66"/>
      <c r="C43" s="67" t="str">
        <f>IF(ISNUMBER($B43),Aug2026_Live!$C$22+Aug2026_Live!$C$23*$B43,"")</f>
        <v/>
      </c>
      <c r="D43" s="20" t="str">
        <f>IF(ISNUMBER($B43),IFERROR(SQRT((Aug2026_Live!$C$23*Aug2026_Live!$C$93)^2+Aug2026_Live!$C$24^2),""),"")</f>
        <v/>
      </c>
      <c r="E43" s="68" t="str">
        <f>IF(OR($C43="",$D43="",$D43=0),"",1-NORMSDIST((Aug2026_Live!$C$17-$C43)/$D43))</f>
        <v/>
      </c>
      <c r="F43" s="69" t="str">
        <f>IF(ISNUMBER($B43),IF($B43&gt;=Aug2026_Live!$C$26,1,0),"")</f>
        <v/>
      </c>
      <c r="G43" s="67" t="str">
        <f>IF(ISNUMBER($B43),Aug2026_Live!$C$42+Aug2026_Live!$E$42*$B43,"")</f>
        <v/>
      </c>
      <c r="H43" s="68" t="str">
        <f>IFERROR(IF(OR($G43="",Aug2026_Live!$C$93=""),"",1-NORMSDIST((Aug2026_Live!$C$41-$G43)/SQRT((Aug2026_Live!$E$42*Aug2026_Live!$C$93)^2+Aug2026_Live!$G$42^2))),"")</f>
        <v/>
      </c>
    </row>
    <row r="44" spans="1:8" x14ac:dyDescent="0.2">
      <c r="A44" s="65">
        <v>39</v>
      </c>
      <c r="B44" s="66"/>
      <c r="C44" s="67" t="str">
        <f>IF(ISNUMBER($B44),Aug2026_Live!$C$22+Aug2026_Live!$C$23*$B44,"")</f>
        <v/>
      </c>
      <c r="D44" s="20" t="str">
        <f>IF(ISNUMBER($B44),IFERROR(SQRT((Aug2026_Live!$C$23*Aug2026_Live!$C$93)^2+Aug2026_Live!$C$24^2),""),"")</f>
        <v/>
      </c>
      <c r="E44" s="68" t="str">
        <f>IF(OR($C44="",$D44="",$D44=0),"",1-NORMSDIST((Aug2026_Live!$C$17-$C44)/$D44))</f>
        <v/>
      </c>
      <c r="F44" s="69" t="str">
        <f>IF(ISNUMBER($B44),IF($B44&gt;=Aug2026_Live!$C$26,1,0),"")</f>
        <v/>
      </c>
      <c r="G44" s="67" t="str">
        <f>IF(ISNUMBER($B44),Aug2026_Live!$C$42+Aug2026_Live!$E$42*$B44,"")</f>
        <v/>
      </c>
      <c r="H44" s="68" t="str">
        <f>IFERROR(IF(OR($G44="",Aug2026_Live!$C$93=""),"",1-NORMSDIST((Aug2026_Live!$C$41-$G44)/SQRT((Aug2026_Live!$E$42*Aug2026_Live!$C$93)^2+Aug2026_Live!$G$42^2))),"")</f>
        <v/>
      </c>
    </row>
    <row r="45" spans="1:8" x14ac:dyDescent="0.2">
      <c r="A45" s="65">
        <v>40</v>
      </c>
      <c r="B45" s="66"/>
      <c r="C45" s="67" t="str">
        <f>IF(ISNUMBER($B45),Aug2026_Live!$C$22+Aug2026_Live!$C$23*$B45,"")</f>
        <v/>
      </c>
      <c r="D45" s="20" t="str">
        <f>IF(ISNUMBER($B45),IFERROR(SQRT((Aug2026_Live!$C$23*Aug2026_Live!$C$93)^2+Aug2026_Live!$C$24^2),""),"")</f>
        <v/>
      </c>
      <c r="E45" s="68" t="str">
        <f>IF(OR($C45="",$D45="",$D45=0),"",1-NORMSDIST((Aug2026_Live!$C$17-$C45)/$D45))</f>
        <v/>
      </c>
      <c r="F45" s="69" t="str">
        <f>IF(ISNUMBER($B45),IF($B45&gt;=Aug2026_Live!$C$26,1,0),"")</f>
        <v/>
      </c>
      <c r="G45" s="67" t="str">
        <f>IF(ISNUMBER($B45),Aug2026_Live!$C$42+Aug2026_Live!$E$42*$B45,"")</f>
        <v/>
      </c>
      <c r="H45" s="68" t="str">
        <f>IFERROR(IF(OR($G45="",Aug2026_Live!$C$93=""),"",1-NORMSDIST((Aug2026_Live!$C$41-$G45)/SQRT((Aug2026_Live!$E$42*Aug2026_Live!$C$93)^2+Aug2026_Live!$G$42^2))),"")</f>
        <v/>
      </c>
    </row>
    <row r="46" spans="1:8" x14ac:dyDescent="0.2">
      <c r="A46" s="65">
        <v>41</v>
      </c>
      <c r="B46" s="66"/>
      <c r="C46" s="67" t="str">
        <f>IF(ISNUMBER($B46),Aug2026_Live!$C$22+Aug2026_Live!$C$23*$B46,"")</f>
        <v/>
      </c>
      <c r="D46" s="20" t="str">
        <f>IF(ISNUMBER($B46),IFERROR(SQRT((Aug2026_Live!$C$23*Aug2026_Live!$C$93)^2+Aug2026_Live!$C$24^2),""),"")</f>
        <v/>
      </c>
      <c r="E46" s="68" t="str">
        <f>IF(OR($C46="",$D46="",$D46=0),"",1-NORMSDIST((Aug2026_Live!$C$17-$C46)/$D46))</f>
        <v/>
      </c>
      <c r="F46" s="69" t="str">
        <f>IF(ISNUMBER($B46),IF($B46&gt;=Aug2026_Live!$C$26,1,0),"")</f>
        <v/>
      </c>
      <c r="G46" s="67" t="str">
        <f>IF(ISNUMBER($B46),Aug2026_Live!$C$42+Aug2026_Live!$E$42*$B46,"")</f>
        <v/>
      </c>
      <c r="H46" s="68" t="str">
        <f>IFERROR(IF(OR($G46="",Aug2026_Live!$C$93=""),"",1-NORMSDIST((Aug2026_Live!$C$41-$G46)/SQRT((Aug2026_Live!$E$42*Aug2026_Live!$C$93)^2+Aug2026_Live!$G$42^2))),"")</f>
        <v/>
      </c>
    </row>
    <row r="47" spans="1:8" x14ac:dyDescent="0.2">
      <c r="A47" s="65">
        <v>42</v>
      </c>
      <c r="B47" s="66"/>
      <c r="C47" s="67" t="str">
        <f>IF(ISNUMBER($B47),Aug2026_Live!$C$22+Aug2026_Live!$C$23*$B47,"")</f>
        <v/>
      </c>
      <c r="D47" s="20" t="str">
        <f>IF(ISNUMBER($B47),IFERROR(SQRT((Aug2026_Live!$C$23*Aug2026_Live!$C$93)^2+Aug2026_Live!$C$24^2),""),"")</f>
        <v/>
      </c>
      <c r="E47" s="68" t="str">
        <f>IF(OR($C47="",$D47="",$D47=0),"",1-NORMSDIST((Aug2026_Live!$C$17-$C47)/$D47))</f>
        <v/>
      </c>
      <c r="F47" s="69" t="str">
        <f>IF(ISNUMBER($B47),IF($B47&gt;=Aug2026_Live!$C$26,1,0),"")</f>
        <v/>
      </c>
      <c r="G47" s="67" t="str">
        <f>IF(ISNUMBER($B47),Aug2026_Live!$C$42+Aug2026_Live!$E$42*$B47,"")</f>
        <v/>
      </c>
      <c r="H47" s="68" t="str">
        <f>IFERROR(IF(OR($G47="",Aug2026_Live!$C$93=""),"",1-NORMSDIST((Aug2026_Live!$C$41-$G47)/SQRT((Aug2026_Live!$E$42*Aug2026_Live!$C$93)^2+Aug2026_Live!$G$42^2))),"")</f>
        <v/>
      </c>
    </row>
    <row r="48" spans="1:8" x14ac:dyDescent="0.2">
      <c r="A48" s="65">
        <v>43</v>
      </c>
      <c r="B48" s="66"/>
      <c r="C48" s="67" t="str">
        <f>IF(ISNUMBER($B48),Aug2026_Live!$C$22+Aug2026_Live!$C$23*$B48,"")</f>
        <v/>
      </c>
      <c r="D48" s="20" t="str">
        <f>IF(ISNUMBER($B48),IFERROR(SQRT((Aug2026_Live!$C$23*Aug2026_Live!$C$93)^2+Aug2026_Live!$C$24^2),""),"")</f>
        <v/>
      </c>
      <c r="E48" s="68" t="str">
        <f>IF(OR($C48="",$D48="",$D48=0),"",1-NORMSDIST((Aug2026_Live!$C$17-$C48)/$D48))</f>
        <v/>
      </c>
      <c r="F48" s="69" t="str">
        <f>IF(ISNUMBER($B48),IF($B48&gt;=Aug2026_Live!$C$26,1,0),"")</f>
        <v/>
      </c>
      <c r="G48" s="67" t="str">
        <f>IF(ISNUMBER($B48),Aug2026_Live!$C$42+Aug2026_Live!$E$42*$B48,"")</f>
        <v/>
      </c>
      <c r="H48" s="68" t="str">
        <f>IFERROR(IF(OR($G48="",Aug2026_Live!$C$93=""),"",1-NORMSDIST((Aug2026_Live!$C$41-$G48)/SQRT((Aug2026_Live!$E$42*Aug2026_Live!$C$93)^2+Aug2026_Live!$G$42^2))),"")</f>
        <v/>
      </c>
    </row>
    <row r="49" spans="1:8" x14ac:dyDescent="0.2">
      <c r="A49" s="65">
        <v>44</v>
      </c>
      <c r="B49" s="66"/>
      <c r="C49" s="67" t="str">
        <f>IF(ISNUMBER($B49),Aug2026_Live!$C$22+Aug2026_Live!$C$23*$B49,"")</f>
        <v/>
      </c>
      <c r="D49" s="20" t="str">
        <f>IF(ISNUMBER($B49),IFERROR(SQRT((Aug2026_Live!$C$23*Aug2026_Live!$C$93)^2+Aug2026_Live!$C$24^2),""),"")</f>
        <v/>
      </c>
      <c r="E49" s="68" t="str">
        <f>IF(OR($C49="",$D49="",$D49=0),"",1-NORMSDIST((Aug2026_Live!$C$17-$C49)/$D49))</f>
        <v/>
      </c>
      <c r="F49" s="69" t="str">
        <f>IF(ISNUMBER($B49),IF($B49&gt;=Aug2026_Live!$C$26,1,0),"")</f>
        <v/>
      </c>
      <c r="G49" s="67" t="str">
        <f>IF(ISNUMBER($B49),Aug2026_Live!$C$42+Aug2026_Live!$E$42*$B49,"")</f>
        <v/>
      </c>
      <c r="H49" s="68" t="str">
        <f>IFERROR(IF(OR($G49="",Aug2026_Live!$C$93=""),"",1-NORMSDIST((Aug2026_Live!$C$41-$G49)/SQRT((Aug2026_Live!$E$42*Aug2026_Live!$C$93)^2+Aug2026_Live!$G$42^2))),"")</f>
        <v/>
      </c>
    </row>
    <row r="50" spans="1:8" x14ac:dyDescent="0.2">
      <c r="A50" s="65">
        <v>45</v>
      </c>
      <c r="B50" s="66"/>
      <c r="C50" s="67" t="str">
        <f>IF(ISNUMBER($B50),Aug2026_Live!$C$22+Aug2026_Live!$C$23*$B50,"")</f>
        <v/>
      </c>
      <c r="D50" s="20" t="str">
        <f>IF(ISNUMBER($B50),IFERROR(SQRT((Aug2026_Live!$C$23*Aug2026_Live!$C$93)^2+Aug2026_Live!$C$24^2),""),"")</f>
        <v/>
      </c>
      <c r="E50" s="68" t="str">
        <f>IF(OR($C50="",$D50="",$D50=0),"",1-NORMSDIST((Aug2026_Live!$C$17-$C50)/$D50))</f>
        <v/>
      </c>
      <c r="F50" s="69" t="str">
        <f>IF(ISNUMBER($B50),IF($B50&gt;=Aug2026_Live!$C$26,1,0),"")</f>
        <v/>
      </c>
      <c r="G50" s="67" t="str">
        <f>IF(ISNUMBER($B50),Aug2026_Live!$C$42+Aug2026_Live!$E$42*$B50,"")</f>
        <v/>
      </c>
      <c r="H50" s="68" t="str">
        <f>IFERROR(IF(OR($G50="",Aug2026_Live!$C$93=""),"",1-NORMSDIST((Aug2026_Live!$C$41-$G50)/SQRT((Aug2026_Live!$E$42*Aug2026_Live!$C$93)^2+Aug2026_Live!$G$42^2))),"")</f>
        <v/>
      </c>
    </row>
    <row r="51" spans="1:8" x14ac:dyDescent="0.2">
      <c r="A51" s="65">
        <v>46</v>
      </c>
      <c r="B51" s="66"/>
      <c r="C51" s="67" t="str">
        <f>IF(ISNUMBER($B51),Aug2026_Live!$C$22+Aug2026_Live!$C$23*$B51,"")</f>
        <v/>
      </c>
      <c r="D51" s="20" t="str">
        <f>IF(ISNUMBER($B51),IFERROR(SQRT((Aug2026_Live!$C$23*Aug2026_Live!$C$93)^2+Aug2026_Live!$C$24^2),""),"")</f>
        <v/>
      </c>
      <c r="E51" s="68" t="str">
        <f>IF(OR($C51="",$D51="",$D51=0),"",1-NORMSDIST((Aug2026_Live!$C$17-$C51)/$D51))</f>
        <v/>
      </c>
      <c r="F51" s="69" t="str">
        <f>IF(ISNUMBER($B51),IF($B51&gt;=Aug2026_Live!$C$26,1,0),"")</f>
        <v/>
      </c>
      <c r="G51" s="67" t="str">
        <f>IF(ISNUMBER($B51),Aug2026_Live!$C$42+Aug2026_Live!$E$42*$B51,"")</f>
        <v/>
      </c>
      <c r="H51" s="68" t="str">
        <f>IFERROR(IF(OR($G51="",Aug2026_Live!$C$93=""),"",1-NORMSDIST((Aug2026_Live!$C$41-$G51)/SQRT((Aug2026_Live!$E$42*Aug2026_Live!$C$93)^2+Aug2026_Live!$G$42^2))),"")</f>
        <v/>
      </c>
    </row>
    <row r="52" spans="1:8" x14ac:dyDescent="0.2">
      <c r="A52" s="65">
        <v>47</v>
      </c>
      <c r="B52" s="66"/>
      <c r="C52" s="67" t="str">
        <f>IF(ISNUMBER($B52),Aug2026_Live!$C$22+Aug2026_Live!$C$23*$B52,"")</f>
        <v/>
      </c>
      <c r="D52" s="20" t="str">
        <f>IF(ISNUMBER($B52),IFERROR(SQRT((Aug2026_Live!$C$23*Aug2026_Live!$C$93)^2+Aug2026_Live!$C$24^2),""),"")</f>
        <v/>
      </c>
      <c r="E52" s="68" t="str">
        <f>IF(OR($C52="",$D52="",$D52=0),"",1-NORMSDIST((Aug2026_Live!$C$17-$C52)/$D52))</f>
        <v/>
      </c>
      <c r="F52" s="69" t="str">
        <f>IF(ISNUMBER($B52),IF($B52&gt;=Aug2026_Live!$C$26,1,0),"")</f>
        <v/>
      </c>
      <c r="G52" s="67" t="str">
        <f>IF(ISNUMBER($B52),Aug2026_Live!$C$42+Aug2026_Live!$E$42*$B52,"")</f>
        <v/>
      </c>
      <c r="H52" s="68" t="str">
        <f>IFERROR(IF(OR($G52="",Aug2026_Live!$C$93=""),"",1-NORMSDIST((Aug2026_Live!$C$41-$G52)/SQRT((Aug2026_Live!$E$42*Aug2026_Live!$C$93)^2+Aug2026_Live!$G$42^2))),"")</f>
        <v/>
      </c>
    </row>
    <row r="53" spans="1:8" x14ac:dyDescent="0.2">
      <c r="A53" s="65">
        <v>48</v>
      </c>
      <c r="B53" s="66"/>
      <c r="C53" s="67" t="str">
        <f>IF(ISNUMBER($B53),Aug2026_Live!$C$22+Aug2026_Live!$C$23*$B53,"")</f>
        <v/>
      </c>
      <c r="D53" s="20" t="str">
        <f>IF(ISNUMBER($B53),IFERROR(SQRT((Aug2026_Live!$C$23*Aug2026_Live!$C$93)^2+Aug2026_Live!$C$24^2),""),"")</f>
        <v/>
      </c>
      <c r="E53" s="68" t="str">
        <f>IF(OR($C53="",$D53="",$D53=0),"",1-NORMSDIST((Aug2026_Live!$C$17-$C53)/$D53))</f>
        <v/>
      </c>
      <c r="F53" s="69" t="str">
        <f>IF(ISNUMBER($B53),IF($B53&gt;=Aug2026_Live!$C$26,1,0),"")</f>
        <v/>
      </c>
      <c r="G53" s="67" t="str">
        <f>IF(ISNUMBER($B53),Aug2026_Live!$C$42+Aug2026_Live!$E$42*$B53,"")</f>
        <v/>
      </c>
      <c r="H53" s="68" t="str">
        <f>IFERROR(IF(OR($G53="",Aug2026_Live!$C$93=""),"",1-NORMSDIST((Aug2026_Live!$C$41-$G53)/SQRT((Aug2026_Live!$E$42*Aug2026_Live!$C$93)^2+Aug2026_Live!$G$42^2))),"")</f>
        <v/>
      </c>
    </row>
    <row r="54" spans="1:8" x14ac:dyDescent="0.2">
      <c r="A54" s="65">
        <v>49</v>
      </c>
      <c r="B54" s="66"/>
      <c r="C54" s="67" t="str">
        <f>IF(ISNUMBER($B54),Aug2026_Live!$C$22+Aug2026_Live!$C$23*$B54,"")</f>
        <v/>
      </c>
      <c r="D54" s="20" t="str">
        <f>IF(ISNUMBER($B54),IFERROR(SQRT((Aug2026_Live!$C$23*Aug2026_Live!$C$93)^2+Aug2026_Live!$C$24^2),""),"")</f>
        <v/>
      </c>
      <c r="E54" s="68" t="str">
        <f>IF(OR($C54="",$D54="",$D54=0),"",1-NORMSDIST((Aug2026_Live!$C$17-$C54)/$D54))</f>
        <v/>
      </c>
      <c r="F54" s="69" t="str">
        <f>IF(ISNUMBER($B54),IF($B54&gt;=Aug2026_Live!$C$26,1,0),"")</f>
        <v/>
      </c>
      <c r="G54" s="67" t="str">
        <f>IF(ISNUMBER($B54),Aug2026_Live!$C$42+Aug2026_Live!$E$42*$B54,"")</f>
        <v/>
      </c>
      <c r="H54" s="68" t="str">
        <f>IFERROR(IF(OR($G54="",Aug2026_Live!$C$93=""),"",1-NORMSDIST((Aug2026_Live!$C$41-$G54)/SQRT((Aug2026_Live!$E$42*Aug2026_Live!$C$93)^2+Aug2026_Live!$G$42^2))),"")</f>
        <v/>
      </c>
    </row>
    <row r="55" spans="1:8" x14ac:dyDescent="0.2">
      <c r="A55" s="65">
        <v>50</v>
      </c>
      <c r="B55" s="66"/>
      <c r="C55" s="67" t="str">
        <f>IF(ISNUMBER($B55),Aug2026_Live!$C$22+Aug2026_Live!$C$23*$B55,"")</f>
        <v/>
      </c>
      <c r="D55" s="20" t="str">
        <f>IF(ISNUMBER($B55),IFERROR(SQRT((Aug2026_Live!$C$23*Aug2026_Live!$C$93)^2+Aug2026_Live!$C$24^2),""),"")</f>
        <v/>
      </c>
      <c r="E55" s="68" t="str">
        <f>IF(OR($C55="",$D55="",$D55=0),"",1-NORMSDIST((Aug2026_Live!$C$17-$C55)/$D55))</f>
        <v/>
      </c>
      <c r="F55" s="69" t="str">
        <f>IF(ISNUMBER($B55),IF($B55&gt;=Aug2026_Live!$C$26,1,0),"")</f>
        <v/>
      </c>
      <c r="G55" s="67" t="str">
        <f>IF(ISNUMBER($B55),Aug2026_Live!$C$42+Aug2026_Live!$E$42*$B55,"")</f>
        <v/>
      </c>
      <c r="H55" s="68" t="str">
        <f>IFERROR(IF(OR($G55="",Aug2026_Live!$C$93=""),"",1-NORMSDIST((Aug2026_Live!$C$41-$G55)/SQRT((Aug2026_Live!$E$42*Aug2026_Live!$C$93)^2+Aug2026_Live!$G$42^2))),"")</f>
        <v/>
      </c>
    </row>
    <row r="56" spans="1:8" x14ac:dyDescent="0.2">
      <c r="A56" s="65">
        <v>51</v>
      </c>
      <c r="B56" s="66"/>
      <c r="C56" s="67" t="str">
        <f>IF(ISNUMBER($B56),Aug2026_Live!$C$22+Aug2026_Live!$C$23*$B56,"")</f>
        <v/>
      </c>
      <c r="D56" s="20" t="str">
        <f>IF(ISNUMBER($B56),IFERROR(SQRT((Aug2026_Live!$C$23*Aug2026_Live!$C$93)^2+Aug2026_Live!$C$24^2),""),"")</f>
        <v/>
      </c>
      <c r="E56" s="68" t="str">
        <f>IF(OR($C56="",$D56="",$D56=0),"",1-NORMSDIST((Aug2026_Live!$C$17-$C56)/$D56))</f>
        <v/>
      </c>
      <c r="F56" s="69" t="str">
        <f>IF(ISNUMBER($B56),IF($B56&gt;=Aug2026_Live!$C$26,1,0),"")</f>
        <v/>
      </c>
      <c r="G56" s="67" t="str">
        <f>IF(ISNUMBER($B56),Aug2026_Live!$C$42+Aug2026_Live!$E$42*$B56,"")</f>
        <v/>
      </c>
      <c r="H56" s="68" t="str">
        <f>IFERROR(IF(OR($G56="",Aug2026_Live!$C$93=""),"",1-NORMSDIST((Aug2026_Live!$C$41-$G56)/SQRT((Aug2026_Live!$E$42*Aug2026_Live!$C$93)^2+Aug2026_Live!$G$42^2))),"")</f>
        <v/>
      </c>
    </row>
    <row r="58" spans="1:8" x14ac:dyDescent="0.2">
      <c r="A58" s="7" t="s">
        <v>241</v>
      </c>
      <c r="B58" s="17">
        <f>COUNT($B$6:$B$56)</f>
        <v>0</v>
      </c>
    </row>
    <row r="59" spans="1:8" x14ac:dyDescent="0.2">
      <c r="A59" s="8" t="s">
        <v>242</v>
      </c>
      <c r="B59" s="55" t="str">
        <f>IFERROR(MEDIAN($B$6:$B$56),"")</f>
        <v/>
      </c>
    </row>
    <row r="60" spans="1:8" x14ac:dyDescent="0.2">
      <c r="A60" s="8" t="s">
        <v>243</v>
      </c>
      <c r="B60" s="55">
        <f>IFERROR(MIN($B$6:$B$56),"")</f>
        <v>0</v>
      </c>
      <c r="C60" s="55">
        <f>IFERROR(MAX($B$6:$B$56),"")</f>
        <v>0</v>
      </c>
    </row>
    <row r="61" spans="1:8" x14ac:dyDescent="0.2">
      <c r="A61" s="8" t="s">
        <v>244</v>
      </c>
      <c r="B61" s="55" t="str">
        <f>IFERROR(STDEV($B$6:$B$56),"")</f>
        <v/>
      </c>
    </row>
    <row r="62" spans="1:8" x14ac:dyDescent="0.2">
      <c r="A62" s="8" t="s">
        <v>245</v>
      </c>
      <c r="B62" s="17">
        <f>IFERROR(SUM($F$6:$F$56),"")</f>
        <v>0</v>
      </c>
    </row>
    <row r="64" spans="1:8" ht="16" x14ac:dyDescent="0.2">
      <c r="A64" s="70" t="s">
        <v>246</v>
      </c>
      <c r="E64" s="71" t="str">
        <f>IFERROR(AVERAGE($E$6:$E$56),"")</f>
        <v/>
      </c>
      <c r="G64" s="7" t="s">
        <v>247</v>
      </c>
      <c r="H64" s="71" t="str">
        <f>IFERROR(AVERAGE($H$6:$H$56),"")</f>
        <v/>
      </c>
    </row>
    <row r="66" spans="1:1" x14ac:dyDescent="0.2">
      <c r="A66" s="63" t="s">
        <v>248</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5"/>
  <sheetViews>
    <sheetView showGridLines="0" workbookViewId="0">
      <pane ySplit="5" topLeftCell="A6" activePane="bottomLeft" state="frozen"/>
      <selection pane="bottomLeft" sqref="A1:G1"/>
    </sheetView>
  </sheetViews>
  <sheetFormatPr baseColWidth="10" defaultColWidth="8.83203125" defaultRowHeight="15" x14ac:dyDescent="0.2"/>
  <cols>
    <col min="1" max="1" width="20" customWidth="1"/>
    <col min="2" max="2" width="16" customWidth="1"/>
    <col min="3" max="3" width="11" customWidth="1"/>
    <col min="4" max="4" width="26" customWidth="1"/>
    <col min="5" max="5" width="20" customWidth="1"/>
    <col min="6" max="6" width="30" customWidth="1"/>
    <col min="7" max="7" width="40" customWidth="1"/>
  </cols>
  <sheetData>
    <row r="1" spans="1:7" ht="17" x14ac:dyDescent="0.2">
      <c r="A1" s="85" t="s">
        <v>249</v>
      </c>
      <c r="B1" s="76"/>
      <c r="C1" s="76"/>
      <c r="D1" s="76"/>
      <c r="E1" s="76"/>
      <c r="F1" s="76"/>
      <c r="G1" s="76"/>
    </row>
    <row r="2" spans="1:7" x14ac:dyDescent="0.2">
      <c r="A2" s="63" t="s">
        <v>250</v>
      </c>
    </row>
    <row r="3" spans="1:7" x14ac:dyDescent="0.2">
      <c r="A3" s="64" t="s">
        <v>251</v>
      </c>
    </row>
    <row r="5" spans="1:7" x14ac:dyDescent="0.2">
      <c r="A5" s="59" t="s">
        <v>252</v>
      </c>
      <c r="B5" s="59" t="s">
        <v>253</v>
      </c>
      <c r="C5" s="59" t="s">
        <v>254</v>
      </c>
      <c r="D5" s="59" t="s">
        <v>255</v>
      </c>
      <c r="E5" s="59" t="s">
        <v>256</v>
      </c>
      <c r="F5" s="59" t="s">
        <v>257</v>
      </c>
      <c r="G5" s="59" t="s">
        <v>258</v>
      </c>
    </row>
    <row r="6" spans="1:7" x14ac:dyDescent="0.2">
      <c r="A6" s="72"/>
      <c r="B6" s="72"/>
      <c r="C6" s="72"/>
      <c r="D6" s="31"/>
      <c r="E6" s="73"/>
      <c r="F6" s="74" t="str">
        <f t="shared" ref="F6:F37" si="0">IF($E6="","",IF($E6&gt;0.03,"▲ SURGE ENTERING — early YES signal",IF($E6&lt;-0.03,"▼ COOLING — NO side strengthens","flat")))</f>
        <v/>
      </c>
      <c r="G6" s="72"/>
    </row>
    <row r="7" spans="1:7" x14ac:dyDescent="0.2">
      <c r="A7" s="72"/>
      <c r="B7" s="72"/>
      <c r="C7" s="72"/>
      <c r="D7" s="31"/>
      <c r="E7" s="73" t="str">
        <f>IF($D7="","",IFERROR($D7-LOOKUP(2,1/($B$6:$B6=$B7),$D$6:$D6),""))</f>
        <v/>
      </c>
      <c r="F7" s="74" t="str">
        <f t="shared" si="0"/>
        <v/>
      </c>
      <c r="G7" s="72"/>
    </row>
    <row r="8" spans="1:7" x14ac:dyDescent="0.2">
      <c r="A8" s="72"/>
      <c r="B8" s="72"/>
      <c r="C8" s="72"/>
      <c r="D8" s="31"/>
      <c r="E8" s="73" t="str">
        <f>IF($D8="","",IFERROR($D8-LOOKUP(2,1/($B$6:$B7=$B8),$D$6:$D7),""))</f>
        <v/>
      </c>
      <c r="F8" s="74" t="str">
        <f t="shared" si="0"/>
        <v/>
      </c>
      <c r="G8" s="72"/>
    </row>
    <row r="9" spans="1:7" x14ac:dyDescent="0.2">
      <c r="A9" s="72"/>
      <c r="B9" s="72"/>
      <c r="C9" s="72"/>
      <c r="D9" s="31"/>
      <c r="E9" s="73" t="str">
        <f>IF($D9="","",IFERROR($D9-LOOKUP(2,1/($B$6:$B8=$B9),$D$6:$D8),""))</f>
        <v/>
      </c>
      <c r="F9" s="74" t="str">
        <f t="shared" si="0"/>
        <v/>
      </c>
      <c r="G9" s="72"/>
    </row>
    <row r="10" spans="1:7" x14ac:dyDescent="0.2">
      <c r="A10" s="72"/>
      <c r="B10" s="72"/>
      <c r="C10" s="72"/>
      <c r="D10" s="31"/>
      <c r="E10" s="73" t="str">
        <f>IF($D10="","",IFERROR($D10-LOOKUP(2,1/($B$6:$B9=$B10),$D$6:$D9),""))</f>
        <v/>
      </c>
      <c r="F10" s="74" t="str">
        <f t="shared" si="0"/>
        <v/>
      </c>
      <c r="G10" s="72"/>
    </row>
    <row r="11" spans="1:7" x14ac:dyDescent="0.2">
      <c r="A11" s="72"/>
      <c r="B11" s="72"/>
      <c r="C11" s="72"/>
      <c r="D11" s="31"/>
      <c r="E11" s="73" t="str">
        <f>IF($D11="","",IFERROR($D11-LOOKUP(2,1/($B$6:$B10=$B11),$D$6:$D10),""))</f>
        <v/>
      </c>
      <c r="F11" s="74" t="str">
        <f t="shared" si="0"/>
        <v/>
      </c>
      <c r="G11" s="72"/>
    </row>
    <row r="12" spans="1:7" x14ac:dyDescent="0.2">
      <c r="A12" s="72"/>
      <c r="B12" s="72"/>
      <c r="C12" s="72"/>
      <c r="D12" s="31"/>
      <c r="E12" s="73" t="str">
        <f>IF($D12="","",IFERROR($D12-LOOKUP(2,1/($B$6:$B11=$B12),$D$6:$D11),""))</f>
        <v/>
      </c>
      <c r="F12" s="74" t="str">
        <f t="shared" si="0"/>
        <v/>
      </c>
      <c r="G12" s="72"/>
    </row>
    <row r="13" spans="1:7" x14ac:dyDescent="0.2">
      <c r="A13" s="72"/>
      <c r="B13" s="72"/>
      <c r="C13" s="72"/>
      <c r="D13" s="31"/>
      <c r="E13" s="73" t="str">
        <f>IF($D13="","",IFERROR($D13-LOOKUP(2,1/($B$6:$B12=$B13),$D$6:$D12),""))</f>
        <v/>
      </c>
      <c r="F13" s="74" t="str">
        <f t="shared" si="0"/>
        <v/>
      </c>
      <c r="G13" s="72"/>
    </row>
    <row r="14" spans="1:7" x14ac:dyDescent="0.2">
      <c r="A14" s="72"/>
      <c r="B14" s="72"/>
      <c r="C14" s="72"/>
      <c r="D14" s="31"/>
      <c r="E14" s="73" t="str">
        <f>IF($D14="","",IFERROR($D14-LOOKUP(2,1/($B$6:$B13=$B14),$D$6:$D13),""))</f>
        <v/>
      </c>
      <c r="F14" s="74" t="str">
        <f t="shared" si="0"/>
        <v/>
      </c>
      <c r="G14" s="72"/>
    </row>
    <row r="15" spans="1:7" x14ac:dyDescent="0.2">
      <c r="A15" s="72"/>
      <c r="B15" s="72"/>
      <c r="C15" s="72"/>
      <c r="D15" s="31"/>
      <c r="E15" s="73" t="str">
        <f>IF($D15="","",IFERROR($D15-LOOKUP(2,1/($B$6:$B14=$B15),$D$6:$D14),""))</f>
        <v/>
      </c>
      <c r="F15" s="74" t="str">
        <f t="shared" si="0"/>
        <v/>
      </c>
      <c r="G15" s="72"/>
    </row>
    <row r="16" spans="1:7" x14ac:dyDescent="0.2">
      <c r="A16" s="72"/>
      <c r="B16" s="72"/>
      <c r="C16" s="72"/>
      <c r="D16" s="31"/>
      <c r="E16" s="73" t="str">
        <f>IF($D16="","",IFERROR($D16-LOOKUP(2,1/($B$6:$B15=$B16),$D$6:$D15),""))</f>
        <v/>
      </c>
      <c r="F16" s="74" t="str">
        <f t="shared" si="0"/>
        <v/>
      </c>
      <c r="G16" s="72"/>
    </row>
    <row r="17" spans="1:7" x14ac:dyDescent="0.2">
      <c r="A17" s="72"/>
      <c r="B17" s="72"/>
      <c r="C17" s="72"/>
      <c r="D17" s="31"/>
      <c r="E17" s="73" t="str">
        <f>IF($D17="","",IFERROR($D17-LOOKUP(2,1/($B$6:$B16=$B17),$D$6:$D16),""))</f>
        <v/>
      </c>
      <c r="F17" s="74" t="str">
        <f t="shared" si="0"/>
        <v/>
      </c>
      <c r="G17" s="72"/>
    </row>
    <row r="18" spans="1:7" x14ac:dyDescent="0.2">
      <c r="A18" s="72"/>
      <c r="B18" s="72"/>
      <c r="C18" s="72"/>
      <c r="D18" s="31"/>
      <c r="E18" s="73" t="str">
        <f>IF($D18="","",IFERROR($D18-LOOKUP(2,1/($B$6:$B17=$B18),$D$6:$D17),""))</f>
        <v/>
      </c>
      <c r="F18" s="74" t="str">
        <f t="shared" si="0"/>
        <v/>
      </c>
      <c r="G18" s="72"/>
    </row>
    <row r="19" spans="1:7" x14ac:dyDescent="0.2">
      <c r="A19" s="72"/>
      <c r="B19" s="72"/>
      <c r="C19" s="72"/>
      <c r="D19" s="31"/>
      <c r="E19" s="73" t="str">
        <f>IF($D19="","",IFERROR($D19-LOOKUP(2,1/($B$6:$B18=$B19),$D$6:$D18),""))</f>
        <v/>
      </c>
      <c r="F19" s="74" t="str">
        <f t="shared" si="0"/>
        <v/>
      </c>
      <c r="G19" s="72"/>
    </row>
    <row r="20" spans="1:7" x14ac:dyDescent="0.2">
      <c r="A20" s="72"/>
      <c r="B20" s="72"/>
      <c r="C20" s="72"/>
      <c r="D20" s="31"/>
      <c r="E20" s="73" t="str">
        <f>IF($D20="","",IFERROR($D20-LOOKUP(2,1/($B$6:$B19=$B20),$D$6:$D19),""))</f>
        <v/>
      </c>
      <c r="F20" s="74" t="str">
        <f t="shared" si="0"/>
        <v/>
      </c>
      <c r="G20" s="72"/>
    </row>
    <row r="21" spans="1:7" x14ac:dyDescent="0.2">
      <c r="A21" s="72"/>
      <c r="B21" s="72"/>
      <c r="C21" s="72"/>
      <c r="D21" s="31"/>
      <c r="E21" s="73" t="str">
        <f>IF($D21="","",IFERROR($D21-LOOKUP(2,1/($B$6:$B20=$B21),$D$6:$D20),""))</f>
        <v/>
      </c>
      <c r="F21" s="74" t="str">
        <f t="shared" si="0"/>
        <v/>
      </c>
      <c r="G21" s="72"/>
    </row>
    <row r="22" spans="1:7" x14ac:dyDescent="0.2">
      <c r="A22" s="72"/>
      <c r="B22" s="72"/>
      <c r="C22" s="72"/>
      <c r="D22" s="31"/>
      <c r="E22" s="73" t="str">
        <f>IF($D22="","",IFERROR($D22-LOOKUP(2,1/($B$6:$B21=$B22),$D$6:$D21),""))</f>
        <v/>
      </c>
      <c r="F22" s="74" t="str">
        <f t="shared" si="0"/>
        <v/>
      </c>
      <c r="G22" s="72"/>
    </row>
    <row r="23" spans="1:7" x14ac:dyDescent="0.2">
      <c r="A23" s="72"/>
      <c r="B23" s="72"/>
      <c r="C23" s="72"/>
      <c r="D23" s="31"/>
      <c r="E23" s="73" t="str">
        <f>IF($D23="","",IFERROR($D23-LOOKUP(2,1/($B$6:$B22=$B23),$D$6:$D22),""))</f>
        <v/>
      </c>
      <c r="F23" s="74" t="str">
        <f t="shared" si="0"/>
        <v/>
      </c>
      <c r="G23" s="72"/>
    </row>
    <row r="24" spans="1:7" x14ac:dyDescent="0.2">
      <c r="A24" s="72"/>
      <c r="B24" s="72"/>
      <c r="C24" s="72"/>
      <c r="D24" s="31"/>
      <c r="E24" s="73" t="str">
        <f>IF($D24="","",IFERROR($D24-LOOKUP(2,1/($B$6:$B23=$B24),$D$6:$D23),""))</f>
        <v/>
      </c>
      <c r="F24" s="74" t="str">
        <f t="shared" si="0"/>
        <v/>
      </c>
      <c r="G24" s="72"/>
    </row>
    <row r="25" spans="1:7" x14ac:dyDescent="0.2">
      <c r="A25" s="72"/>
      <c r="B25" s="72"/>
      <c r="C25" s="72"/>
      <c r="D25" s="31"/>
      <c r="E25" s="73" t="str">
        <f>IF($D25="","",IFERROR($D25-LOOKUP(2,1/($B$6:$B24=$B25),$D$6:$D24),""))</f>
        <v/>
      </c>
      <c r="F25" s="74" t="str">
        <f t="shared" si="0"/>
        <v/>
      </c>
      <c r="G25" s="72"/>
    </row>
    <row r="26" spans="1:7" x14ac:dyDescent="0.2">
      <c r="A26" s="72"/>
      <c r="B26" s="72"/>
      <c r="C26" s="72"/>
      <c r="D26" s="31"/>
      <c r="E26" s="73" t="str">
        <f>IF($D26="","",IFERROR($D26-LOOKUP(2,1/($B$6:$B25=$B26),$D$6:$D25),""))</f>
        <v/>
      </c>
      <c r="F26" s="74" t="str">
        <f t="shared" si="0"/>
        <v/>
      </c>
      <c r="G26" s="72"/>
    </row>
    <row r="27" spans="1:7" x14ac:dyDescent="0.2">
      <c r="A27" s="72"/>
      <c r="B27" s="72"/>
      <c r="C27" s="72"/>
      <c r="D27" s="31"/>
      <c r="E27" s="73" t="str">
        <f>IF($D27="","",IFERROR($D27-LOOKUP(2,1/($B$6:$B26=$B27),$D$6:$D26),""))</f>
        <v/>
      </c>
      <c r="F27" s="74" t="str">
        <f t="shared" si="0"/>
        <v/>
      </c>
      <c r="G27" s="72"/>
    </row>
    <row r="28" spans="1:7" x14ac:dyDescent="0.2">
      <c r="A28" s="72"/>
      <c r="B28" s="72"/>
      <c r="C28" s="72"/>
      <c r="D28" s="31"/>
      <c r="E28" s="73" t="str">
        <f>IF($D28="","",IFERROR($D28-LOOKUP(2,1/($B$6:$B27=$B28),$D$6:$D27),""))</f>
        <v/>
      </c>
      <c r="F28" s="74" t="str">
        <f t="shared" si="0"/>
        <v/>
      </c>
      <c r="G28" s="72"/>
    </row>
    <row r="29" spans="1:7" x14ac:dyDescent="0.2">
      <c r="A29" s="72"/>
      <c r="B29" s="72"/>
      <c r="C29" s="72"/>
      <c r="D29" s="31"/>
      <c r="E29" s="73" t="str">
        <f>IF($D29="","",IFERROR($D29-LOOKUP(2,1/($B$6:$B28=$B29),$D$6:$D28),""))</f>
        <v/>
      </c>
      <c r="F29" s="74" t="str">
        <f t="shared" si="0"/>
        <v/>
      </c>
      <c r="G29" s="72"/>
    </row>
    <row r="30" spans="1:7" x14ac:dyDescent="0.2">
      <c r="A30" s="72"/>
      <c r="B30" s="72"/>
      <c r="C30" s="72"/>
      <c r="D30" s="31"/>
      <c r="E30" s="73" t="str">
        <f>IF($D30="","",IFERROR($D30-LOOKUP(2,1/($B$6:$B29=$B30),$D$6:$D29),""))</f>
        <v/>
      </c>
      <c r="F30" s="74" t="str">
        <f t="shared" si="0"/>
        <v/>
      </c>
      <c r="G30" s="72"/>
    </row>
    <row r="31" spans="1:7" x14ac:dyDescent="0.2">
      <c r="A31" s="72"/>
      <c r="B31" s="72"/>
      <c r="C31" s="72"/>
      <c r="D31" s="31"/>
      <c r="E31" s="73" t="str">
        <f>IF($D31="","",IFERROR($D31-LOOKUP(2,1/($B$6:$B30=$B31),$D$6:$D30),""))</f>
        <v/>
      </c>
      <c r="F31" s="74" t="str">
        <f t="shared" si="0"/>
        <v/>
      </c>
      <c r="G31" s="72"/>
    </row>
    <row r="32" spans="1:7" x14ac:dyDescent="0.2">
      <c r="A32" s="72"/>
      <c r="B32" s="72"/>
      <c r="C32" s="72"/>
      <c r="D32" s="31"/>
      <c r="E32" s="73" t="str">
        <f>IF($D32="","",IFERROR($D32-LOOKUP(2,1/($B$6:$B31=$B32),$D$6:$D31),""))</f>
        <v/>
      </c>
      <c r="F32" s="74" t="str">
        <f t="shared" si="0"/>
        <v/>
      </c>
      <c r="G32" s="72"/>
    </row>
    <row r="33" spans="1:7" x14ac:dyDescent="0.2">
      <c r="A33" s="72"/>
      <c r="B33" s="72"/>
      <c r="C33" s="72"/>
      <c r="D33" s="31"/>
      <c r="E33" s="73" t="str">
        <f>IF($D33="","",IFERROR($D33-LOOKUP(2,1/($B$6:$B32=$B33),$D$6:$D32),""))</f>
        <v/>
      </c>
      <c r="F33" s="74" t="str">
        <f t="shared" si="0"/>
        <v/>
      </c>
      <c r="G33" s="72"/>
    </row>
    <row r="34" spans="1:7" x14ac:dyDescent="0.2">
      <c r="A34" s="72"/>
      <c r="B34" s="72"/>
      <c r="C34" s="72"/>
      <c r="D34" s="31"/>
      <c r="E34" s="73" t="str">
        <f>IF($D34="","",IFERROR($D34-LOOKUP(2,1/($B$6:$B33=$B34),$D$6:$D33),""))</f>
        <v/>
      </c>
      <c r="F34" s="74" t="str">
        <f t="shared" si="0"/>
        <v/>
      </c>
      <c r="G34" s="72"/>
    </row>
    <row r="35" spans="1:7" x14ac:dyDescent="0.2">
      <c r="A35" s="72"/>
      <c r="B35" s="72"/>
      <c r="C35" s="72"/>
      <c r="D35" s="31"/>
      <c r="E35" s="73" t="str">
        <f>IF($D35="","",IFERROR($D35-LOOKUP(2,1/($B$6:$B34=$B35),$D$6:$D34),""))</f>
        <v/>
      </c>
      <c r="F35" s="74" t="str">
        <f t="shared" si="0"/>
        <v/>
      </c>
      <c r="G35" s="72"/>
    </row>
    <row r="36" spans="1:7" x14ac:dyDescent="0.2">
      <c r="A36" s="72"/>
      <c r="B36" s="72"/>
      <c r="C36" s="72"/>
      <c r="D36" s="31"/>
      <c r="E36" s="73" t="str">
        <f>IF($D36="","",IFERROR($D36-LOOKUP(2,1/($B$6:$B35=$B36),$D$6:$D35),""))</f>
        <v/>
      </c>
      <c r="F36" s="74" t="str">
        <f t="shared" si="0"/>
        <v/>
      </c>
      <c r="G36" s="72"/>
    </row>
    <row r="37" spans="1:7" x14ac:dyDescent="0.2">
      <c r="A37" s="72"/>
      <c r="B37" s="72"/>
      <c r="C37" s="72"/>
      <c r="D37" s="31"/>
      <c r="E37" s="73" t="str">
        <f>IF($D37="","",IFERROR($D37-LOOKUP(2,1/($B$6:$B36=$B37),$D$6:$D36),""))</f>
        <v/>
      </c>
      <c r="F37" s="74" t="str">
        <f t="shared" si="0"/>
        <v/>
      </c>
      <c r="G37" s="72"/>
    </row>
    <row r="38" spans="1:7" x14ac:dyDescent="0.2">
      <c r="A38" s="72"/>
      <c r="B38" s="72"/>
      <c r="C38" s="72"/>
      <c r="D38" s="31"/>
      <c r="E38" s="73" t="str">
        <f>IF($D38="","",IFERROR($D38-LOOKUP(2,1/($B$6:$B37=$B38),$D$6:$D37),""))</f>
        <v/>
      </c>
      <c r="F38" s="74" t="str">
        <f t="shared" ref="F38:F69" si="1">IF($E38="","",IF($E38&gt;0.03,"▲ SURGE ENTERING — early YES signal",IF($E38&lt;-0.03,"▼ COOLING — NO side strengthens","flat")))</f>
        <v/>
      </c>
      <c r="G38" s="72"/>
    </row>
    <row r="39" spans="1:7" x14ac:dyDescent="0.2">
      <c r="A39" s="72"/>
      <c r="B39" s="72"/>
      <c r="C39" s="72"/>
      <c r="D39" s="31"/>
      <c r="E39" s="73" t="str">
        <f>IF($D39="","",IFERROR($D39-LOOKUP(2,1/($B$6:$B38=$B39),$D$6:$D38),""))</f>
        <v/>
      </c>
      <c r="F39" s="74" t="str">
        <f t="shared" si="1"/>
        <v/>
      </c>
      <c r="G39" s="72"/>
    </row>
    <row r="40" spans="1:7" x14ac:dyDescent="0.2">
      <c r="A40" s="72"/>
      <c r="B40" s="72"/>
      <c r="C40" s="72"/>
      <c r="D40" s="31"/>
      <c r="E40" s="73" t="str">
        <f>IF($D40="","",IFERROR($D40-LOOKUP(2,1/($B$6:$B39=$B40),$D$6:$D39),""))</f>
        <v/>
      </c>
      <c r="F40" s="74" t="str">
        <f t="shared" si="1"/>
        <v/>
      </c>
      <c r="G40" s="72"/>
    </row>
    <row r="41" spans="1:7" x14ac:dyDescent="0.2">
      <c r="A41" s="72"/>
      <c r="B41" s="72"/>
      <c r="C41" s="72"/>
      <c r="D41" s="31"/>
      <c r="E41" s="73" t="str">
        <f>IF($D41="","",IFERROR($D41-LOOKUP(2,1/($B$6:$B40=$B41),$D$6:$D40),""))</f>
        <v/>
      </c>
      <c r="F41" s="74" t="str">
        <f t="shared" si="1"/>
        <v/>
      </c>
      <c r="G41" s="72"/>
    </row>
    <row r="42" spans="1:7" x14ac:dyDescent="0.2">
      <c r="A42" s="72"/>
      <c r="B42" s="72"/>
      <c r="C42" s="72"/>
      <c r="D42" s="31"/>
      <c r="E42" s="73" t="str">
        <f>IF($D42="","",IFERROR($D42-LOOKUP(2,1/($B$6:$B41=$B42),$D$6:$D41),""))</f>
        <v/>
      </c>
      <c r="F42" s="74" t="str">
        <f t="shared" si="1"/>
        <v/>
      </c>
      <c r="G42" s="72"/>
    </row>
    <row r="43" spans="1:7" x14ac:dyDescent="0.2">
      <c r="A43" s="72"/>
      <c r="B43" s="72"/>
      <c r="C43" s="72"/>
      <c r="D43" s="31"/>
      <c r="E43" s="73" t="str">
        <f>IF($D43="","",IFERROR($D43-LOOKUP(2,1/($B$6:$B42=$B43),$D$6:$D42),""))</f>
        <v/>
      </c>
      <c r="F43" s="74" t="str">
        <f t="shared" si="1"/>
        <v/>
      </c>
      <c r="G43" s="72"/>
    </row>
    <row r="44" spans="1:7" x14ac:dyDescent="0.2">
      <c r="A44" s="72"/>
      <c r="B44" s="72"/>
      <c r="C44" s="72"/>
      <c r="D44" s="31"/>
      <c r="E44" s="73" t="str">
        <f>IF($D44="","",IFERROR($D44-LOOKUP(2,1/($B$6:$B43=$B44),$D$6:$D43),""))</f>
        <v/>
      </c>
      <c r="F44" s="74" t="str">
        <f t="shared" si="1"/>
        <v/>
      </c>
      <c r="G44" s="72"/>
    </row>
    <row r="45" spans="1:7" x14ac:dyDescent="0.2">
      <c r="A45" s="72"/>
      <c r="B45" s="72"/>
      <c r="C45" s="72"/>
      <c r="D45" s="31"/>
      <c r="E45" s="73" t="str">
        <f>IF($D45="","",IFERROR($D45-LOOKUP(2,1/($B$6:$B44=$B45),$D$6:$D44),""))</f>
        <v/>
      </c>
      <c r="F45" s="74" t="str">
        <f t="shared" si="1"/>
        <v/>
      </c>
      <c r="G45" s="72"/>
    </row>
    <row r="46" spans="1:7" x14ac:dyDescent="0.2">
      <c r="A46" s="72"/>
      <c r="B46" s="72"/>
      <c r="C46" s="72"/>
      <c r="D46" s="31"/>
      <c r="E46" s="73" t="str">
        <f>IF($D46="","",IFERROR($D46-LOOKUP(2,1/($B$6:$B45=$B46),$D$6:$D45),""))</f>
        <v/>
      </c>
      <c r="F46" s="74" t="str">
        <f t="shared" si="1"/>
        <v/>
      </c>
      <c r="G46" s="72"/>
    </row>
    <row r="47" spans="1:7" x14ac:dyDescent="0.2">
      <c r="A47" s="72"/>
      <c r="B47" s="72"/>
      <c r="C47" s="72"/>
      <c r="D47" s="31"/>
      <c r="E47" s="73" t="str">
        <f>IF($D47="","",IFERROR($D47-LOOKUP(2,1/($B$6:$B46=$B47),$D$6:$D46),""))</f>
        <v/>
      </c>
      <c r="F47" s="74" t="str">
        <f t="shared" si="1"/>
        <v/>
      </c>
      <c r="G47" s="72"/>
    </row>
    <row r="48" spans="1:7" x14ac:dyDescent="0.2">
      <c r="A48" s="72"/>
      <c r="B48" s="72"/>
      <c r="C48" s="72"/>
      <c r="D48" s="31"/>
      <c r="E48" s="73" t="str">
        <f>IF($D48="","",IFERROR($D48-LOOKUP(2,1/($B$6:$B47=$B48),$D$6:$D47),""))</f>
        <v/>
      </c>
      <c r="F48" s="74" t="str">
        <f t="shared" si="1"/>
        <v/>
      </c>
      <c r="G48" s="72"/>
    </row>
    <row r="49" spans="1:7" x14ac:dyDescent="0.2">
      <c r="A49" s="72"/>
      <c r="B49" s="72"/>
      <c r="C49" s="72"/>
      <c r="D49" s="31"/>
      <c r="E49" s="73" t="str">
        <f>IF($D49="","",IFERROR($D49-LOOKUP(2,1/($B$6:$B48=$B49),$D$6:$D48),""))</f>
        <v/>
      </c>
      <c r="F49" s="74" t="str">
        <f t="shared" si="1"/>
        <v/>
      </c>
      <c r="G49" s="72"/>
    </row>
    <row r="50" spans="1:7" x14ac:dyDescent="0.2">
      <c r="A50" s="72"/>
      <c r="B50" s="72"/>
      <c r="C50" s="72"/>
      <c r="D50" s="31"/>
      <c r="E50" s="73" t="str">
        <f>IF($D50="","",IFERROR($D50-LOOKUP(2,1/($B$6:$B49=$B50),$D$6:$D49),""))</f>
        <v/>
      </c>
      <c r="F50" s="74" t="str">
        <f t="shared" si="1"/>
        <v/>
      </c>
      <c r="G50" s="72"/>
    </row>
    <row r="51" spans="1:7" x14ac:dyDescent="0.2">
      <c r="A51" s="72"/>
      <c r="B51" s="72"/>
      <c r="C51" s="72"/>
      <c r="D51" s="31"/>
      <c r="E51" s="73" t="str">
        <f>IF($D51="","",IFERROR($D51-LOOKUP(2,1/($B$6:$B50=$B51),$D$6:$D50),""))</f>
        <v/>
      </c>
      <c r="F51" s="74" t="str">
        <f t="shared" si="1"/>
        <v/>
      </c>
      <c r="G51" s="72"/>
    </row>
    <row r="52" spans="1:7" x14ac:dyDescent="0.2">
      <c r="A52" s="72"/>
      <c r="B52" s="72"/>
      <c r="C52" s="72"/>
      <c r="D52" s="31"/>
      <c r="E52" s="73" t="str">
        <f>IF($D52="","",IFERROR($D52-LOOKUP(2,1/($B$6:$B51=$B52),$D$6:$D51),""))</f>
        <v/>
      </c>
      <c r="F52" s="74" t="str">
        <f t="shared" si="1"/>
        <v/>
      </c>
      <c r="G52" s="72"/>
    </row>
    <row r="53" spans="1:7" x14ac:dyDescent="0.2">
      <c r="A53" s="72"/>
      <c r="B53" s="72"/>
      <c r="C53" s="72"/>
      <c r="D53" s="31"/>
      <c r="E53" s="73" t="str">
        <f>IF($D53="","",IFERROR($D53-LOOKUP(2,1/($B$6:$B52=$B53),$D$6:$D52),""))</f>
        <v/>
      </c>
      <c r="F53" s="74" t="str">
        <f t="shared" si="1"/>
        <v/>
      </c>
      <c r="G53" s="72"/>
    </row>
    <row r="54" spans="1:7" x14ac:dyDescent="0.2">
      <c r="A54" s="72"/>
      <c r="B54" s="72"/>
      <c r="C54" s="72"/>
      <c r="D54" s="31"/>
      <c r="E54" s="73" t="str">
        <f>IF($D54="","",IFERROR($D54-LOOKUP(2,1/($B$6:$B53=$B54),$D$6:$D53),""))</f>
        <v/>
      </c>
      <c r="F54" s="74" t="str">
        <f t="shared" si="1"/>
        <v/>
      </c>
      <c r="G54" s="72"/>
    </row>
    <row r="55" spans="1:7" x14ac:dyDescent="0.2">
      <c r="A55" s="72"/>
      <c r="B55" s="72"/>
      <c r="C55" s="72"/>
      <c r="D55" s="31"/>
      <c r="E55" s="73" t="str">
        <f>IF($D55="","",IFERROR($D55-LOOKUP(2,1/($B$6:$B54=$B55),$D$6:$D54),""))</f>
        <v/>
      </c>
      <c r="F55" s="74" t="str">
        <f t="shared" si="1"/>
        <v/>
      </c>
      <c r="G55" s="72"/>
    </row>
    <row r="56" spans="1:7" x14ac:dyDescent="0.2">
      <c r="A56" s="72"/>
      <c r="B56" s="72"/>
      <c r="C56" s="72"/>
      <c r="D56" s="31"/>
      <c r="E56" s="73" t="str">
        <f>IF($D56="","",IFERROR($D56-LOOKUP(2,1/($B$6:$B55=$B56),$D$6:$D55),""))</f>
        <v/>
      </c>
      <c r="F56" s="74" t="str">
        <f t="shared" si="1"/>
        <v/>
      </c>
      <c r="G56" s="72"/>
    </row>
    <row r="57" spans="1:7" x14ac:dyDescent="0.2">
      <c r="A57" s="72"/>
      <c r="B57" s="72"/>
      <c r="C57" s="72"/>
      <c r="D57" s="31"/>
      <c r="E57" s="73" t="str">
        <f>IF($D57="","",IFERROR($D57-LOOKUP(2,1/($B$6:$B56=$B57),$D$6:$D56),""))</f>
        <v/>
      </c>
      <c r="F57" s="74" t="str">
        <f t="shared" si="1"/>
        <v/>
      </c>
      <c r="G57" s="72"/>
    </row>
    <row r="58" spans="1:7" x14ac:dyDescent="0.2">
      <c r="A58" s="72"/>
      <c r="B58" s="72"/>
      <c r="C58" s="72"/>
      <c r="D58" s="31"/>
      <c r="E58" s="73" t="str">
        <f>IF($D58="","",IFERROR($D58-LOOKUP(2,1/($B$6:$B57=$B58),$D$6:$D57),""))</f>
        <v/>
      </c>
      <c r="F58" s="74" t="str">
        <f t="shared" si="1"/>
        <v/>
      </c>
      <c r="G58" s="72"/>
    </row>
    <row r="59" spans="1:7" x14ac:dyDescent="0.2">
      <c r="A59" s="72"/>
      <c r="B59" s="72"/>
      <c r="C59" s="72"/>
      <c r="D59" s="31"/>
      <c r="E59" s="73" t="str">
        <f>IF($D59="","",IFERROR($D59-LOOKUP(2,1/($B$6:$B58=$B59),$D$6:$D58),""))</f>
        <v/>
      </c>
      <c r="F59" s="74" t="str">
        <f t="shared" si="1"/>
        <v/>
      </c>
      <c r="G59" s="72"/>
    </row>
    <row r="60" spans="1:7" x14ac:dyDescent="0.2">
      <c r="A60" s="72"/>
      <c r="B60" s="72"/>
      <c r="C60" s="72"/>
      <c r="D60" s="31"/>
      <c r="E60" s="73" t="str">
        <f>IF($D60="","",IFERROR($D60-LOOKUP(2,1/($B$6:$B59=$B60),$D$6:$D59),""))</f>
        <v/>
      </c>
      <c r="F60" s="74" t="str">
        <f t="shared" si="1"/>
        <v/>
      </c>
      <c r="G60" s="72"/>
    </row>
    <row r="61" spans="1:7" x14ac:dyDescent="0.2">
      <c r="A61" s="72"/>
      <c r="B61" s="72"/>
      <c r="C61" s="72"/>
      <c r="D61" s="31"/>
      <c r="E61" s="73" t="str">
        <f>IF($D61="","",IFERROR($D61-LOOKUP(2,1/($B$6:$B60=$B61),$D$6:$D60),""))</f>
        <v/>
      </c>
      <c r="F61" s="74" t="str">
        <f t="shared" si="1"/>
        <v/>
      </c>
      <c r="G61" s="72"/>
    </row>
    <row r="62" spans="1:7" x14ac:dyDescent="0.2">
      <c r="A62" s="72"/>
      <c r="B62" s="72"/>
      <c r="C62" s="72"/>
      <c r="D62" s="31"/>
      <c r="E62" s="73" t="str">
        <f>IF($D62="","",IFERROR($D62-LOOKUP(2,1/($B$6:$B61=$B62),$D$6:$D61),""))</f>
        <v/>
      </c>
      <c r="F62" s="74" t="str">
        <f t="shared" si="1"/>
        <v/>
      </c>
      <c r="G62" s="72"/>
    </row>
    <row r="63" spans="1:7" x14ac:dyDescent="0.2">
      <c r="A63" s="72"/>
      <c r="B63" s="72"/>
      <c r="C63" s="72"/>
      <c r="D63" s="31"/>
      <c r="E63" s="73" t="str">
        <f>IF($D63="","",IFERROR($D63-LOOKUP(2,1/($B$6:$B62=$B63),$D$6:$D62),""))</f>
        <v/>
      </c>
      <c r="F63" s="74" t="str">
        <f t="shared" si="1"/>
        <v/>
      </c>
      <c r="G63" s="72"/>
    </row>
    <row r="64" spans="1:7" x14ac:dyDescent="0.2">
      <c r="A64" s="72"/>
      <c r="B64" s="72"/>
      <c r="C64" s="72"/>
      <c r="D64" s="31"/>
      <c r="E64" s="73" t="str">
        <f>IF($D64="","",IFERROR($D64-LOOKUP(2,1/($B$6:$B63=$B64),$D$6:$D63),""))</f>
        <v/>
      </c>
      <c r="F64" s="74" t="str">
        <f t="shared" si="1"/>
        <v/>
      </c>
      <c r="G64" s="72"/>
    </row>
    <row r="65" spans="1:7" x14ac:dyDescent="0.2">
      <c r="A65" s="72"/>
      <c r="B65" s="72"/>
      <c r="C65" s="72"/>
      <c r="D65" s="31"/>
      <c r="E65" s="73" t="str">
        <f>IF($D65="","",IFERROR($D65-LOOKUP(2,1/($B$6:$B64=$B65),$D$6:$D64),""))</f>
        <v/>
      </c>
      <c r="F65" s="74" t="str">
        <f t="shared" si="1"/>
        <v/>
      </c>
      <c r="G65" s="72"/>
    </row>
    <row r="66" spans="1:7" x14ac:dyDescent="0.2">
      <c r="A66" s="72"/>
      <c r="B66" s="72"/>
      <c r="C66" s="72"/>
      <c r="D66" s="31"/>
      <c r="E66" s="73" t="str">
        <f>IF($D66="","",IFERROR($D66-LOOKUP(2,1/($B$6:$B65=$B66),$D$6:$D65),""))</f>
        <v/>
      </c>
      <c r="F66" s="74" t="str">
        <f t="shared" si="1"/>
        <v/>
      </c>
      <c r="G66" s="72"/>
    </row>
    <row r="67" spans="1:7" x14ac:dyDescent="0.2">
      <c r="A67" s="72"/>
      <c r="B67" s="72"/>
      <c r="C67" s="72"/>
      <c r="D67" s="31"/>
      <c r="E67" s="73" t="str">
        <f>IF($D67="","",IFERROR($D67-LOOKUP(2,1/($B$6:$B66=$B67),$D$6:$D66),""))</f>
        <v/>
      </c>
      <c r="F67" s="74" t="str">
        <f t="shared" si="1"/>
        <v/>
      </c>
      <c r="G67" s="72"/>
    </row>
    <row r="68" spans="1:7" x14ac:dyDescent="0.2">
      <c r="A68" s="72"/>
      <c r="B68" s="72"/>
      <c r="C68" s="72"/>
      <c r="D68" s="31"/>
      <c r="E68" s="73" t="str">
        <f>IF($D68="","",IFERROR($D68-LOOKUP(2,1/($B$6:$B67=$B68),$D$6:$D67),""))</f>
        <v/>
      </c>
      <c r="F68" s="74" t="str">
        <f t="shared" si="1"/>
        <v/>
      </c>
      <c r="G68" s="72"/>
    </row>
    <row r="69" spans="1:7" x14ac:dyDescent="0.2">
      <c r="A69" s="72"/>
      <c r="B69" s="72"/>
      <c r="C69" s="72"/>
      <c r="D69" s="31"/>
      <c r="E69" s="73" t="str">
        <f>IF($D69="","",IFERROR($D69-LOOKUP(2,1/($B$6:$B68=$B69),$D$6:$D68),""))</f>
        <v/>
      </c>
      <c r="F69" s="74" t="str">
        <f t="shared" si="1"/>
        <v/>
      </c>
      <c r="G69" s="72"/>
    </row>
    <row r="70" spans="1:7" x14ac:dyDescent="0.2">
      <c r="A70" s="72"/>
      <c r="B70" s="72"/>
      <c r="C70" s="72"/>
      <c r="D70" s="31"/>
      <c r="E70" s="73" t="str">
        <f>IF($D70="","",IFERROR($D70-LOOKUP(2,1/($B$6:$B69=$B70),$D$6:$D69),""))</f>
        <v/>
      </c>
      <c r="F70" s="74" t="str">
        <f t="shared" ref="F70:F101" si="2">IF($E70="","",IF($E70&gt;0.03,"▲ SURGE ENTERING — early YES signal",IF($E70&lt;-0.03,"▼ COOLING — NO side strengthens","flat")))</f>
        <v/>
      </c>
      <c r="G70" s="72"/>
    </row>
    <row r="71" spans="1:7" x14ac:dyDescent="0.2">
      <c r="A71" s="72"/>
      <c r="B71" s="72"/>
      <c r="C71" s="72"/>
      <c r="D71" s="31"/>
      <c r="E71" s="73" t="str">
        <f>IF($D71="","",IFERROR($D71-LOOKUP(2,1/($B$6:$B70=$B71),$D$6:$D70),""))</f>
        <v/>
      </c>
      <c r="F71" s="74" t="str">
        <f t="shared" si="2"/>
        <v/>
      </c>
      <c r="G71" s="72"/>
    </row>
    <row r="72" spans="1:7" x14ac:dyDescent="0.2">
      <c r="A72" s="72"/>
      <c r="B72" s="72"/>
      <c r="C72" s="72"/>
      <c r="D72" s="31"/>
      <c r="E72" s="73" t="str">
        <f>IF($D72="","",IFERROR($D72-LOOKUP(2,1/($B$6:$B71=$B72),$D$6:$D71),""))</f>
        <v/>
      </c>
      <c r="F72" s="74" t="str">
        <f t="shared" si="2"/>
        <v/>
      </c>
      <c r="G72" s="72"/>
    </row>
    <row r="73" spans="1:7" x14ac:dyDescent="0.2">
      <c r="A73" s="72"/>
      <c r="B73" s="72"/>
      <c r="C73" s="72"/>
      <c r="D73" s="31"/>
      <c r="E73" s="73" t="str">
        <f>IF($D73="","",IFERROR($D73-LOOKUP(2,1/($B$6:$B72=$B73),$D$6:$D72),""))</f>
        <v/>
      </c>
      <c r="F73" s="74" t="str">
        <f t="shared" si="2"/>
        <v/>
      </c>
      <c r="G73" s="72"/>
    </row>
    <row r="74" spans="1:7" x14ac:dyDescent="0.2">
      <c r="A74" s="72"/>
      <c r="B74" s="72"/>
      <c r="C74" s="72"/>
      <c r="D74" s="31"/>
      <c r="E74" s="73" t="str">
        <f>IF($D74="","",IFERROR($D74-LOOKUP(2,1/($B$6:$B73=$B74),$D$6:$D73),""))</f>
        <v/>
      </c>
      <c r="F74" s="74" t="str">
        <f t="shared" si="2"/>
        <v/>
      </c>
      <c r="G74" s="72"/>
    </row>
    <row r="75" spans="1:7" x14ac:dyDescent="0.2">
      <c r="A75" s="72"/>
      <c r="B75" s="72"/>
      <c r="C75" s="72"/>
      <c r="D75" s="31"/>
      <c r="E75" s="73" t="str">
        <f>IF($D75="","",IFERROR($D75-LOOKUP(2,1/($B$6:$B74=$B75),$D$6:$D74),""))</f>
        <v/>
      </c>
      <c r="F75" s="74" t="str">
        <f t="shared" si="2"/>
        <v/>
      </c>
      <c r="G75" s="72"/>
    </row>
    <row r="76" spans="1:7" x14ac:dyDescent="0.2">
      <c r="A76" s="72"/>
      <c r="B76" s="72"/>
      <c r="C76" s="72"/>
      <c r="D76" s="31"/>
      <c r="E76" s="73" t="str">
        <f>IF($D76="","",IFERROR($D76-LOOKUP(2,1/($B$6:$B75=$B76),$D$6:$D75),""))</f>
        <v/>
      </c>
      <c r="F76" s="74" t="str">
        <f t="shared" si="2"/>
        <v/>
      </c>
      <c r="G76" s="72"/>
    </row>
    <row r="77" spans="1:7" x14ac:dyDescent="0.2">
      <c r="A77" s="72"/>
      <c r="B77" s="72"/>
      <c r="C77" s="72"/>
      <c r="D77" s="31"/>
      <c r="E77" s="73" t="str">
        <f>IF($D77="","",IFERROR($D77-LOOKUP(2,1/($B$6:$B76=$B77),$D$6:$D76),""))</f>
        <v/>
      </c>
      <c r="F77" s="74" t="str">
        <f t="shared" si="2"/>
        <v/>
      </c>
      <c r="G77" s="72"/>
    </row>
    <row r="78" spans="1:7" x14ac:dyDescent="0.2">
      <c r="A78" s="72"/>
      <c r="B78" s="72"/>
      <c r="C78" s="72"/>
      <c r="D78" s="31"/>
      <c r="E78" s="73" t="str">
        <f>IF($D78="","",IFERROR($D78-LOOKUP(2,1/($B$6:$B77=$B78),$D$6:$D77),""))</f>
        <v/>
      </c>
      <c r="F78" s="74" t="str">
        <f t="shared" si="2"/>
        <v/>
      </c>
      <c r="G78" s="72"/>
    </row>
    <row r="79" spans="1:7" x14ac:dyDescent="0.2">
      <c r="A79" s="72"/>
      <c r="B79" s="72"/>
      <c r="C79" s="72"/>
      <c r="D79" s="31"/>
      <c r="E79" s="73" t="str">
        <f>IF($D79="","",IFERROR($D79-LOOKUP(2,1/($B$6:$B78=$B79),$D$6:$D78),""))</f>
        <v/>
      </c>
      <c r="F79" s="74" t="str">
        <f t="shared" si="2"/>
        <v/>
      </c>
      <c r="G79" s="72"/>
    </row>
    <row r="80" spans="1:7" x14ac:dyDescent="0.2">
      <c r="A80" s="72"/>
      <c r="B80" s="72"/>
      <c r="C80" s="72"/>
      <c r="D80" s="31"/>
      <c r="E80" s="73" t="str">
        <f>IF($D80="","",IFERROR($D80-LOOKUP(2,1/($B$6:$B79=$B80),$D$6:$D79),""))</f>
        <v/>
      </c>
      <c r="F80" s="74" t="str">
        <f t="shared" si="2"/>
        <v/>
      </c>
      <c r="G80" s="72"/>
    </row>
    <row r="81" spans="1:7" x14ac:dyDescent="0.2">
      <c r="A81" s="72"/>
      <c r="B81" s="72"/>
      <c r="C81" s="72"/>
      <c r="D81" s="31"/>
      <c r="E81" s="73" t="str">
        <f>IF($D81="","",IFERROR($D81-LOOKUP(2,1/($B$6:$B80=$B81),$D$6:$D80),""))</f>
        <v/>
      </c>
      <c r="F81" s="74" t="str">
        <f t="shared" si="2"/>
        <v/>
      </c>
      <c r="G81" s="72"/>
    </row>
    <row r="82" spans="1:7" x14ac:dyDescent="0.2">
      <c r="A82" s="72"/>
      <c r="B82" s="72"/>
      <c r="C82" s="72"/>
      <c r="D82" s="31"/>
      <c r="E82" s="73" t="str">
        <f>IF($D82="","",IFERROR($D82-LOOKUP(2,1/($B$6:$B81=$B82),$D$6:$D81),""))</f>
        <v/>
      </c>
      <c r="F82" s="74" t="str">
        <f t="shared" si="2"/>
        <v/>
      </c>
      <c r="G82" s="72"/>
    </row>
    <row r="83" spans="1:7" x14ac:dyDescent="0.2">
      <c r="A83" s="72"/>
      <c r="B83" s="72"/>
      <c r="C83" s="72"/>
      <c r="D83" s="31"/>
      <c r="E83" s="73" t="str">
        <f>IF($D83="","",IFERROR($D83-LOOKUP(2,1/($B$6:$B82=$B83),$D$6:$D82),""))</f>
        <v/>
      </c>
      <c r="F83" s="74" t="str">
        <f t="shared" si="2"/>
        <v/>
      </c>
      <c r="G83" s="72"/>
    </row>
    <row r="84" spans="1:7" x14ac:dyDescent="0.2">
      <c r="A84" s="72"/>
      <c r="B84" s="72"/>
      <c r="C84" s="72"/>
      <c r="D84" s="31"/>
      <c r="E84" s="73" t="str">
        <f>IF($D84="","",IFERROR($D84-LOOKUP(2,1/($B$6:$B83=$B84),$D$6:$D83),""))</f>
        <v/>
      </c>
      <c r="F84" s="74" t="str">
        <f t="shared" si="2"/>
        <v/>
      </c>
      <c r="G84" s="72"/>
    </row>
    <row r="85" spans="1:7" x14ac:dyDescent="0.2">
      <c r="A85" s="72"/>
      <c r="B85" s="72"/>
      <c r="C85" s="72"/>
      <c r="D85" s="31"/>
      <c r="E85" s="73" t="str">
        <f>IF($D85="","",IFERROR($D85-LOOKUP(2,1/($B$6:$B84=$B85),$D$6:$D84),""))</f>
        <v/>
      </c>
      <c r="F85" s="74" t="str">
        <f t="shared" si="2"/>
        <v/>
      </c>
      <c r="G85" s="72"/>
    </row>
    <row r="86" spans="1:7" x14ac:dyDescent="0.2">
      <c r="A86" s="72"/>
      <c r="B86" s="72"/>
      <c r="C86" s="72"/>
      <c r="D86" s="31"/>
      <c r="E86" s="73" t="str">
        <f>IF($D86="","",IFERROR($D86-LOOKUP(2,1/($B$6:$B85=$B86),$D$6:$D85),""))</f>
        <v/>
      </c>
      <c r="F86" s="74" t="str">
        <f t="shared" si="2"/>
        <v/>
      </c>
      <c r="G86" s="72"/>
    </row>
    <row r="87" spans="1:7" x14ac:dyDescent="0.2">
      <c r="A87" s="72"/>
      <c r="B87" s="72"/>
      <c r="C87" s="72"/>
      <c r="D87" s="31"/>
      <c r="E87" s="73" t="str">
        <f>IF($D87="","",IFERROR($D87-LOOKUP(2,1/($B$6:$B86=$B87),$D$6:$D86),""))</f>
        <v/>
      </c>
      <c r="F87" s="74" t="str">
        <f t="shared" si="2"/>
        <v/>
      </c>
      <c r="G87" s="72"/>
    </row>
    <row r="88" spans="1:7" x14ac:dyDescent="0.2">
      <c r="A88" s="72"/>
      <c r="B88" s="72"/>
      <c r="C88" s="72"/>
      <c r="D88" s="31"/>
      <c r="E88" s="73" t="str">
        <f>IF($D88="","",IFERROR($D88-LOOKUP(2,1/($B$6:$B87=$B88),$D$6:$D87),""))</f>
        <v/>
      </c>
      <c r="F88" s="74" t="str">
        <f t="shared" si="2"/>
        <v/>
      </c>
      <c r="G88" s="72"/>
    </row>
    <row r="89" spans="1:7" x14ac:dyDescent="0.2">
      <c r="A89" s="72"/>
      <c r="B89" s="72"/>
      <c r="C89" s="72"/>
      <c r="D89" s="31"/>
      <c r="E89" s="73" t="str">
        <f>IF($D89="","",IFERROR($D89-LOOKUP(2,1/($B$6:$B88=$B89),$D$6:$D88),""))</f>
        <v/>
      </c>
      <c r="F89" s="74" t="str">
        <f t="shared" si="2"/>
        <v/>
      </c>
      <c r="G89" s="72"/>
    </row>
    <row r="90" spans="1:7" x14ac:dyDescent="0.2">
      <c r="A90" s="72"/>
      <c r="B90" s="72"/>
      <c r="C90" s="72"/>
      <c r="D90" s="31"/>
      <c r="E90" s="73" t="str">
        <f>IF($D90="","",IFERROR($D90-LOOKUP(2,1/($B$6:$B89=$B90),$D$6:$D89),""))</f>
        <v/>
      </c>
      <c r="F90" s="74" t="str">
        <f t="shared" si="2"/>
        <v/>
      </c>
      <c r="G90" s="72"/>
    </row>
    <row r="91" spans="1:7" x14ac:dyDescent="0.2">
      <c r="A91" s="72"/>
      <c r="B91" s="72"/>
      <c r="C91" s="72"/>
      <c r="D91" s="31"/>
      <c r="E91" s="73" t="str">
        <f>IF($D91="","",IFERROR($D91-LOOKUP(2,1/($B$6:$B90=$B91),$D$6:$D90),""))</f>
        <v/>
      </c>
      <c r="F91" s="74" t="str">
        <f t="shared" si="2"/>
        <v/>
      </c>
      <c r="G91" s="72"/>
    </row>
    <row r="92" spans="1:7" x14ac:dyDescent="0.2">
      <c r="A92" s="72"/>
      <c r="B92" s="72"/>
      <c r="C92" s="72"/>
      <c r="D92" s="31"/>
      <c r="E92" s="73" t="str">
        <f>IF($D92="","",IFERROR($D92-LOOKUP(2,1/($B$6:$B91=$B92),$D$6:$D91),""))</f>
        <v/>
      </c>
      <c r="F92" s="74" t="str">
        <f t="shared" si="2"/>
        <v/>
      </c>
      <c r="G92" s="72"/>
    </row>
    <row r="93" spans="1:7" x14ac:dyDescent="0.2">
      <c r="A93" s="72"/>
      <c r="B93" s="72"/>
      <c r="C93" s="72"/>
      <c r="D93" s="31"/>
      <c r="E93" s="73" t="str">
        <f>IF($D93="","",IFERROR($D93-LOOKUP(2,1/($B$6:$B92=$B93),$D$6:$D92),""))</f>
        <v/>
      </c>
      <c r="F93" s="74" t="str">
        <f t="shared" si="2"/>
        <v/>
      </c>
      <c r="G93" s="72"/>
    </row>
    <row r="94" spans="1:7" x14ac:dyDescent="0.2">
      <c r="A94" s="72"/>
      <c r="B94" s="72"/>
      <c r="C94" s="72"/>
      <c r="D94" s="31"/>
      <c r="E94" s="73" t="str">
        <f>IF($D94="","",IFERROR($D94-LOOKUP(2,1/($B$6:$B93=$B94),$D$6:$D93),""))</f>
        <v/>
      </c>
      <c r="F94" s="74" t="str">
        <f t="shared" si="2"/>
        <v/>
      </c>
      <c r="G94" s="72"/>
    </row>
    <row r="95" spans="1:7" x14ac:dyDescent="0.2">
      <c r="A95" s="72"/>
      <c r="B95" s="72"/>
      <c r="C95" s="72"/>
      <c r="D95" s="31"/>
      <c r="E95" s="73" t="str">
        <f>IF($D95="","",IFERROR($D95-LOOKUP(2,1/($B$6:$B94=$B95),$D$6:$D94),""))</f>
        <v/>
      </c>
      <c r="F95" s="74" t="str">
        <f t="shared" si="2"/>
        <v/>
      </c>
      <c r="G95" s="72"/>
    </row>
    <row r="96" spans="1:7" x14ac:dyDescent="0.2">
      <c r="A96" s="72"/>
      <c r="B96" s="72"/>
      <c r="C96" s="72"/>
      <c r="D96" s="31"/>
      <c r="E96" s="73" t="str">
        <f>IF($D96="","",IFERROR($D96-LOOKUP(2,1/($B$6:$B95=$B96),$D$6:$D95),""))</f>
        <v/>
      </c>
      <c r="F96" s="74" t="str">
        <f t="shared" si="2"/>
        <v/>
      </c>
      <c r="G96" s="72"/>
    </row>
    <row r="97" spans="1:7" x14ac:dyDescent="0.2">
      <c r="A97" s="72"/>
      <c r="B97" s="72"/>
      <c r="C97" s="72"/>
      <c r="D97" s="31"/>
      <c r="E97" s="73" t="str">
        <f>IF($D97="","",IFERROR($D97-LOOKUP(2,1/($B$6:$B96=$B97),$D$6:$D96),""))</f>
        <v/>
      </c>
      <c r="F97" s="74" t="str">
        <f t="shared" si="2"/>
        <v/>
      </c>
      <c r="G97" s="72"/>
    </row>
    <row r="98" spans="1:7" x14ac:dyDescent="0.2">
      <c r="A98" s="72"/>
      <c r="B98" s="72"/>
      <c r="C98" s="72"/>
      <c r="D98" s="31"/>
      <c r="E98" s="73" t="str">
        <f>IF($D98="","",IFERROR($D98-LOOKUP(2,1/($B$6:$B97=$B98),$D$6:$D97),""))</f>
        <v/>
      </c>
      <c r="F98" s="74" t="str">
        <f t="shared" si="2"/>
        <v/>
      </c>
      <c r="G98" s="72"/>
    </row>
    <row r="99" spans="1:7" x14ac:dyDescent="0.2">
      <c r="A99" s="72"/>
      <c r="B99" s="72"/>
      <c r="C99" s="72"/>
      <c r="D99" s="31"/>
      <c r="E99" s="73" t="str">
        <f>IF($D99="","",IFERROR($D99-LOOKUP(2,1/($B$6:$B98=$B99),$D$6:$D98),""))</f>
        <v/>
      </c>
      <c r="F99" s="74" t="str">
        <f t="shared" si="2"/>
        <v/>
      </c>
      <c r="G99" s="72"/>
    </row>
    <row r="100" spans="1:7" x14ac:dyDescent="0.2">
      <c r="A100" s="72"/>
      <c r="B100" s="72"/>
      <c r="C100" s="72"/>
      <c r="D100" s="31"/>
      <c r="E100" s="73" t="str">
        <f>IF($D100="","",IFERROR($D100-LOOKUP(2,1/($B$6:$B99=$B100),$D$6:$D99),""))</f>
        <v/>
      </c>
      <c r="F100" s="74" t="str">
        <f t="shared" si="2"/>
        <v/>
      </c>
      <c r="G100" s="72"/>
    </row>
    <row r="101" spans="1:7" x14ac:dyDescent="0.2">
      <c r="A101" s="72"/>
      <c r="B101" s="72"/>
      <c r="C101" s="72"/>
      <c r="D101" s="31"/>
      <c r="E101" s="73" t="str">
        <f>IF($D101="","",IFERROR($D101-LOOKUP(2,1/($B$6:$B100=$B101),$D$6:$D100),""))</f>
        <v/>
      </c>
      <c r="F101" s="74" t="str">
        <f t="shared" si="2"/>
        <v/>
      </c>
      <c r="G101" s="72"/>
    </row>
    <row r="102" spans="1:7" x14ac:dyDescent="0.2">
      <c r="A102" s="72"/>
      <c r="B102" s="72"/>
      <c r="C102" s="72"/>
      <c r="D102" s="31"/>
      <c r="E102" s="73" t="str">
        <f>IF($D102="","",IFERROR($D102-LOOKUP(2,1/($B$6:$B101=$B102),$D$6:$D101),""))</f>
        <v/>
      </c>
      <c r="F102" s="74" t="str">
        <f t="shared" ref="F102:F125" si="3">IF($E102="","",IF($E102&gt;0.03,"▲ SURGE ENTERING — early YES signal",IF($E102&lt;-0.03,"▼ COOLING — NO side strengthens","flat")))</f>
        <v/>
      </c>
      <c r="G102" s="72"/>
    </row>
    <row r="103" spans="1:7" x14ac:dyDescent="0.2">
      <c r="A103" s="72"/>
      <c r="B103" s="72"/>
      <c r="C103" s="72"/>
      <c r="D103" s="31"/>
      <c r="E103" s="73" t="str">
        <f>IF($D103="","",IFERROR($D103-LOOKUP(2,1/($B$6:$B102=$B103),$D$6:$D102),""))</f>
        <v/>
      </c>
      <c r="F103" s="74" t="str">
        <f t="shared" si="3"/>
        <v/>
      </c>
      <c r="G103" s="72"/>
    </row>
    <row r="104" spans="1:7" x14ac:dyDescent="0.2">
      <c r="A104" s="72"/>
      <c r="B104" s="72"/>
      <c r="C104" s="72"/>
      <c r="D104" s="31"/>
      <c r="E104" s="73" t="str">
        <f>IF($D104="","",IFERROR($D104-LOOKUP(2,1/($B$6:$B103=$B104),$D$6:$D103),""))</f>
        <v/>
      </c>
      <c r="F104" s="74" t="str">
        <f t="shared" si="3"/>
        <v/>
      </c>
      <c r="G104" s="72"/>
    </row>
    <row r="105" spans="1:7" x14ac:dyDescent="0.2">
      <c r="A105" s="72"/>
      <c r="B105" s="72"/>
      <c r="C105" s="72"/>
      <c r="D105" s="31"/>
      <c r="E105" s="73" t="str">
        <f>IF($D105="","",IFERROR($D105-LOOKUP(2,1/($B$6:$B104=$B105),$D$6:$D104),""))</f>
        <v/>
      </c>
      <c r="F105" s="74" t="str">
        <f t="shared" si="3"/>
        <v/>
      </c>
      <c r="G105" s="72"/>
    </row>
    <row r="106" spans="1:7" x14ac:dyDescent="0.2">
      <c r="A106" s="72"/>
      <c r="B106" s="72"/>
      <c r="C106" s="72"/>
      <c r="D106" s="31"/>
      <c r="E106" s="73" t="str">
        <f>IF($D106="","",IFERROR($D106-LOOKUP(2,1/($B$6:$B105=$B106),$D$6:$D105),""))</f>
        <v/>
      </c>
      <c r="F106" s="74" t="str">
        <f t="shared" si="3"/>
        <v/>
      </c>
      <c r="G106" s="72"/>
    </row>
    <row r="107" spans="1:7" x14ac:dyDescent="0.2">
      <c r="A107" s="72"/>
      <c r="B107" s="72"/>
      <c r="C107" s="72"/>
      <c r="D107" s="31"/>
      <c r="E107" s="73" t="str">
        <f>IF($D107="","",IFERROR($D107-LOOKUP(2,1/($B$6:$B106=$B107),$D$6:$D106),""))</f>
        <v/>
      </c>
      <c r="F107" s="74" t="str">
        <f t="shared" si="3"/>
        <v/>
      </c>
      <c r="G107" s="72"/>
    </row>
    <row r="108" spans="1:7" x14ac:dyDescent="0.2">
      <c r="A108" s="72"/>
      <c r="B108" s="72"/>
      <c r="C108" s="72"/>
      <c r="D108" s="31"/>
      <c r="E108" s="73" t="str">
        <f>IF($D108="","",IFERROR($D108-LOOKUP(2,1/($B$6:$B107=$B108),$D$6:$D107),""))</f>
        <v/>
      </c>
      <c r="F108" s="74" t="str">
        <f t="shared" si="3"/>
        <v/>
      </c>
      <c r="G108" s="72"/>
    </row>
    <row r="109" spans="1:7" x14ac:dyDescent="0.2">
      <c r="A109" s="72"/>
      <c r="B109" s="72"/>
      <c r="C109" s="72"/>
      <c r="D109" s="31"/>
      <c r="E109" s="73" t="str">
        <f>IF($D109="","",IFERROR($D109-LOOKUP(2,1/($B$6:$B108=$B109),$D$6:$D108),""))</f>
        <v/>
      </c>
      <c r="F109" s="74" t="str">
        <f t="shared" si="3"/>
        <v/>
      </c>
      <c r="G109" s="72"/>
    </row>
    <row r="110" spans="1:7" x14ac:dyDescent="0.2">
      <c r="A110" s="72"/>
      <c r="B110" s="72"/>
      <c r="C110" s="72"/>
      <c r="D110" s="31"/>
      <c r="E110" s="73" t="str">
        <f>IF($D110="","",IFERROR($D110-LOOKUP(2,1/($B$6:$B109=$B110),$D$6:$D109),""))</f>
        <v/>
      </c>
      <c r="F110" s="74" t="str">
        <f t="shared" si="3"/>
        <v/>
      </c>
      <c r="G110" s="72"/>
    </row>
    <row r="111" spans="1:7" x14ac:dyDescent="0.2">
      <c r="A111" s="72"/>
      <c r="B111" s="72"/>
      <c r="C111" s="72"/>
      <c r="D111" s="31"/>
      <c r="E111" s="73" t="str">
        <f>IF($D111="","",IFERROR($D111-LOOKUP(2,1/($B$6:$B110=$B111),$D$6:$D110),""))</f>
        <v/>
      </c>
      <c r="F111" s="74" t="str">
        <f t="shared" si="3"/>
        <v/>
      </c>
      <c r="G111" s="72"/>
    </row>
    <row r="112" spans="1:7" x14ac:dyDescent="0.2">
      <c r="A112" s="72"/>
      <c r="B112" s="72"/>
      <c r="C112" s="72"/>
      <c r="D112" s="31"/>
      <c r="E112" s="73" t="str">
        <f>IF($D112="","",IFERROR($D112-LOOKUP(2,1/($B$6:$B111=$B112),$D$6:$D111),""))</f>
        <v/>
      </c>
      <c r="F112" s="74" t="str">
        <f t="shared" si="3"/>
        <v/>
      </c>
      <c r="G112" s="72"/>
    </row>
    <row r="113" spans="1:7" x14ac:dyDescent="0.2">
      <c r="A113" s="72"/>
      <c r="B113" s="72"/>
      <c r="C113" s="72"/>
      <c r="D113" s="31"/>
      <c r="E113" s="73" t="str">
        <f>IF($D113="","",IFERROR($D113-LOOKUP(2,1/($B$6:$B112=$B113),$D$6:$D112),""))</f>
        <v/>
      </c>
      <c r="F113" s="74" t="str">
        <f t="shared" si="3"/>
        <v/>
      </c>
      <c r="G113" s="72"/>
    </row>
    <row r="114" spans="1:7" x14ac:dyDescent="0.2">
      <c r="A114" s="72"/>
      <c r="B114" s="72"/>
      <c r="C114" s="72"/>
      <c r="D114" s="31"/>
      <c r="E114" s="73" t="str">
        <f>IF($D114="","",IFERROR($D114-LOOKUP(2,1/($B$6:$B113=$B114),$D$6:$D113),""))</f>
        <v/>
      </c>
      <c r="F114" s="74" t="str">
        <f t="shared" si="3"/>
        <v/>
      </c>
      <c r="G114" s="72"/>
    </row>
    <row r="115" spans="1:7" x14ac:dyDescent="0.2">
      <c r="A115" s="72"/>
      <c r="B115" s="72"/>
      <c r="C115" s="72"/>
      <c r="D115" s="31"/>
      <c r="E115" s="73" t="str">
        <f>IF($D115="","",IFERROR($D115-LOOKUP(2,1/($B$6:$B114=$B115),$D$6:$D114),""))</f>
        <v/>
      </c>
      <c r="F115" s="74" t="str">
        <f t="shared" si="3"/>
        <v/>
      </c>
      <c r="G115" s="72"/>
    </row>
    <row r="116" spans="1:7" x14ac:dyDescent="0.2">
      <c r="A116" s="72"/>
      <c r="B116" s="72"/>
      <c r="C116" s="72"/>
      <c r="D116" s="31"/>
      <c r="E116" s="73" t="str">
        <f>IF($D116="","",IFERROR($D116-LOOKUP(2,1/($B$6:$B115=$B116),$D$6:$D115),""))</f>
        <v/>
      </c>
      <c r="F116" s="74" t="str">
        <f t="shared" si="3"/>
        <v/>
      </c>
      <c r="G116" s="72"/>
    </row>
    <row r="117" spans="1:7" x14ac:dyDescent="0.2">
      <c r="A117" s="72"/>
      <c r="B117" s="72"/>
      <c r="C117" s="72"/>
      <c r="D117" s="31"/>
      <c r="E117" s="73" t="str">
        <f>IF($D117="","",IFERROR($D117-LOOKUP(2,1/($B$6:$B116=$B117),$D$6:$D116),""))</f>
        <v/>
      </c>
      <c r="F117" s="74" t="str">
        <f t="shared" si="3"/>
        <v/>
      </c>
      <c r="G117" s="72"/>
    </row>
    <row r="118" spans="1:7" x14ac:dyDescent="0.2">
      <c r="A118" s="72"/>
      <c r="B118" s="72"/>
      <c r="C118" s="72"/>
      <c r="D118" s="31"/>
      <c r="E118" s="73" t="str">
        <f>IF($D118="","",IFERROR($D118-LOOKUP(2,1/($B$6:$B117=$B118),$D$6:$D117),""))</f>
        <v/>
      </c>
      <c r="F118" s="74" t="str">
        <f t="shared" si="3"/>
        <v/>
      </c>
      <c r="G118" s="72"/>
    </row>
    <row r="119" spans="1:7" x14ac:dyDescent="0.2">
      <c r="A119" s="72"/>
      <c r="B119" s="72"/>
      <c r="C119" s="72"/>
      <c r="D119" s="31"/>
      <c r="E119" s="73" t="str">
        <f>IF($D119="","",IFERROR($D119-LOOKUP(2,1/($B$6:$B118=$B119),$D$6:$D118),""))</f>
        <v/>
      </c>
      <c r="F119" s="74" t="str">
        <f t="shared" si="3"/>
        <v/>
      </c>
      <c r="G119" s="72"/>
    </row>
    <row r="120" spans="1:7" x14ac:dyDescent="0.2">
      <c r="A120" s="72"/>
      <c r="B120" s="72"/>
      <c r="C120" s="72"/>
      <c r="D120" s="31"/>
      <c r="E120" s="73" t="str">
        <f>IF($D120="","",IFERROR($D120-LOOKUP(2,1/($B$6:$B119=$B120),$D$6:$D119),""))</f>
        <v/>
      </c>
      <c r="F120" s="74" t="str">
        <f t="shared" si="3"/>
        <v/>
      </c>
      <c r="G120" s="72"/>
    </row>
    <row r="121" spans="1:7" x14ac:dyDescent="0.2">
      <c r="A121" s="72"/>
      <c r="B121" s="72"/>
      <c r="C121" s="72"/>
      <c r="D121" s="31"/>
      <c r="E121" s="73" t="str">
        <f>IF($D121="","",IFERROR($D121-LOOKUP(2,1/($B$6:$B120=$B121),$D$6:$D120),""))</f>
        <v/>
      </c>
      <c r="F121" s="74" t="str">
        <f t="shared" si="3"/>
        <v/>
      </c>
      <c r="G121" s="72"/>
    </row>
    <row r="122" spans="1:7" x14ac:dyDescent="0.2">
      <c r="A122" s="72"/>
      <c r="B122" s="72"/>
      <c r="C122" s="72"/>
      <c r="D122" s="31"/>
      <c r="E122" s="73" t="str">
        <f>IF($D122="","",IFERROR($D122-LOOKUP(2,1/($B$6:$B121=$B122),$D$6:$D121),""))</f>
        <v/>
      </c>
      <c r="F122" s="74" t="str">
        <f t="shared" si="3"/>
        <v/>
      </c>
      <c r="G122" s="72"/>
    </row>
    <row r="123" spans="1:7" x14ac:dyDescent="0.2">
      <c r="A123" s="72"/>
      <c r="B123" s="72"/>
      <c r="C123" s="72"/>
      <c r="D123" s="31"/>
      <c r="E123" s="73" t="str">
        <f>IF($D123="","",IFERROR($D123-LOOKUP(2,1/($B$6:$B122=$B123),$D$6:$D122),""))</f>
        <v/>
      </c>
      <c r="F123" s="74" t="str">
        <f t="shared" si="3"/>
        <v/>
      </c>
      <c r="G123" s="72"/>
    </row>
    <row r="124" spans="1:7" x14ac:dyDescent="0.2">
      <c r="A124" s="72"/>
      <c r="B124" s="72"/>
      <c r="C124" s="72"/>
      <c r="D124" s="31"/>
      <c r="E124" s="73" t="str">
        <f>IF($D124="","",IFERROR($D124-LOOKUP(2,1/($B$6:$B123=$B124),$D$6:$D123),""))</f>
        <v/>
      </c>
      <c r="F124" s="74" t="str">
        <f t="shared" si="3"/>
        <v/>
      </c>
      <c r="G124" s="72"/>
    </row>
    <row r="125" spans="1:7" x14ac:dyDescent="0.2">
      <c r="A125" s="72"/>
      <c r="B125" s="72"/>
      <c r="C125" s="72"/>
      <c r="D125" s="31"/>
      <c r="E125" s="73" t="str">
        <f>IF($D125="","",IFERROR($D125-LOOKUP(2,1/($B$6:$B124=$B125),$D$6:$D124),""))</f>
        <v/>
      </c>
      <c r="F125" s="74" t="str">
        <f t="shared" si="3"/>
        <v/>
      </c>
      <c r="G125" s="72"/>
    </row>
  </sheetData>
  <mergeCells count="1">
    <mergeCell ref="A1:G1"/>
  </mergeCells>
  <conditionalFormatting sqref="F6:F125">
    <cfRule type="expression" dxfId="1" priority="1">
      <formula>ISNUMBER(SEARCH("SURGE",F6))</formula>
    </cfRule>
    <cfRule type="expression" dxfId="0" priority="2">
      <formula>ISNUMBER(SEARCH("COOLING",F6))</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Aug2026_Live</vt:lpstr>
      <vt:lpstr>ENS_members_raw</vt:lpstr>
      <vt:lpstr>Fcst_log</vt:lpstr>
      <vt:lpstr>Aug2026_Live!Print_Titles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felipe cardozo</cp:lastModifiedBy>
  <dcterms:created xsi:type="dcterms:W3CDTF">2026-07-25T03:47:22Z</dcterms:created>
  <dcterms:modified xsi:type="dcterms:W3CDTF">2026-07-25T04:15:06Z</dcterms:modified>
</cp:coreProperties>
</file>