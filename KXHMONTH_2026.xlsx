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felipecardozo/Desktop/Stats/Hottest Month/"/>
    </mc:Choice>
  </mc:AlternateContent>
  <xr:revisionPtr revIDLastSave="0" documentId="8_{A824FD4F-3281-DB44-B7BB-FFC7BF2203CD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Jun_2026" sheetId="1" r:id="rId1"/>
    <sheet name="Jul_2026" sheetId="2" r:id="rId2"/>
    <sheet name="Aug_2026" sheetId="4" r:id="rId3"/>
    <sheet name="Sep_2026" sheetId="5" r:id="rId4"/>
  </sheets>
  <definedNames>
    <definedName name="_xlnm.Print_Titles" localSheetId="0">Jun_2026!$32:$32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F11" i="1"/>
  <c r="K6" i="1"/>
  <c r="L6" i="1"/>
  <c r="L5" i="1"/>
  <c r="L4" i="1"/>
  <c r="L3" i="1"/>
  <c r="C16" i="1"/>
  <c r="F8" i="1"/>
  <c r="F7" i="1"/>
  <c r="F6" i="1"/>
  <c r="F5" i="1"/>
  <c r="F4" i="1"/>
  <c r="C8" i="1"/>
  <c r="C7" i="1"/>
  <c r="C6" i="1"/>
  <c r="C5" i="1"/>
  <c r="Q4" i="1" l="1"/>
  <c r="H5" i="1"/>
  <c r="C9" i="1"/>
  <c r="H6" i="1"/>
  <c r="H4" i="1"/>
  <c r="H7" i="1"/>
  <c r="H8" i="1"/>
  <c r="H9" i="1"/>
  <c r="K5" i="1" l="1"/>
  <c r="K3" i="1"/>
  <c r="K4" i="1"/>
</calcChain>
</file>

<file path=xl/sharedStrings.xml><?xml version="1.0" encoding="utf-8"?>
<sst xmlns="http://schemas.openxmlformats.org/spreadsheetml/2006/main" count="90" uniqueCount="90">
  <si>
    <t>Settlement thresholds</t>
  </si>
  <si>
    <t>June record (printed)</t>
  </si>
  <si>
    <t>a  (intercept)</t>
  </si>
  <si>
    <t>b  (slope)</t>
  </si>
  <si>
    <t>σ_translation  (residual)</t>
  </si>
  <si>
    <t>n  (years in fit)</t>
  </si>
  <si>
    <t>k (observed days)</t>
  </si>
  <si>
    <t>sd_f  (ERA5 scale)</t>
  </si>
  <si>
    <t>ref (offline)</t>
  </si>
  <si>
    <t>σ_NOAA</t>
  </si>
  <si>
    <t>ONI (CPC, AMJ 2026)</t>
  </si>
  <si>
    <t>GISTEMP June record (printed)</t>
  </si>
  <si>
    <t>GISTEMP latent threshold</t>
  </si>
  <si>
    <t>GISTEMP a / b / σ</t>
  </si>
  <si>
    <t>ρ  forecast-error correlation mix</t>
  </si>
  <si>
    <t>Date</t>
  </si>
  <si>
    <t>k  — observed days</t>
  </si>
  <si>
    <t>Banked mean  B_k</t>
  </si>
  <si>
    <t>Remaining days</t>
  </si>
  <si>
    <t>NO contracts bought</t>
  </si>
  <si>
    <t>Fees paid</t>
  </si>
  <si>
    <t>REALISED P&amp;L</t>
  </si>
  <si>
    <t>YES close (¢)</t>
  </si>
  <si>
    <t>May 28</t>
  </si>
  <si>
    <t>May 29</t>
  </si>
  <si>
    <t>May 30</t>
  </si>
  <si>
    <t>May 31</t>
  </si>
  <si>
    <t>Jun 01</t>
  </si>
  <si>
    <t>Jun 02</t>
  </si>
  <si>
    <t>Jun 03</t>
  </si>
  <si>
    <t>Jun 04</t>
  </si>
  <si>
    <t>Jun 05</t>
  </si>
  <si>
    <t>Jun 06</t>
  </si>
  <si>
    <t>Jun 07</t>
  </si>
  <si>
    <t>Jun 08</t>
  </si>
  <si>
    <t>Jun 09</t>
  </si>
  <si>
    <t>Jun 10</t>
  </si>
  <si>
    <t>Jun 11</t>
  </si>
  <si>
    <t>Jun 12</t>
  </si>
  <si>
    <t>Jun 13</t>
  </si>
  <si>
    <t>Jun 14</t>
  </si>
  <si>
    <t>Jun 15</t>
  </si>
  <si>
    <t>Jun 16</t>
  </si>
  <si>
    <t>Jun 17</t>
  </si>
  <si>
    <t>Jun 18</t>
  </si>
  <si>
    <t>Jun 19</t>
  </si>
  <si>
    <t>Jun 20</t>
  </si>
  <si>
    <t>Jun 21</t>
  </si>
  <si>
    <t>Jun 22</t>
  </si>
  <si>
    <t>Jun 23</t>
  </si>
  <si>
    <t>Jun 24</t>
  </si>
  <si>
    <t>Jun 25</t>
  </si>
  <si>
    <t>Jun 26</t>
  </si>
  <si>
    <t>Jun 27</t>
  </si>
  <si>
    <t>Jun 28</t>
  </si>
  <si>
    <t>Jun 29</t>
  </si>
  <si>
    <t>Jun 30</t>
  </si>
  <si>
    <t>Year</t>
  </si>
  <si>
    <t>ERA5 Jun mean</t>
  </si>
  <si>
    <t>NOAA Jun</t>
  </si>
  <si>
    <t>μ_GISTEMP</t>
  </si>
  <si>
    <t>KXHMONTH-26JUN  —  “Will June 2026 be the hottest June ever?”</t>
  </si>
  <si>
    <t xml:space="preserve">Variance σ_NOAA </t>
  </si>
  <si>
    <t>Volume</t>
  </si>
  <si>
    <t>ROI</t>
  </si>
  <si>
    <t>YES (results)</t>
  </si>
  <si>
    <t>NO (results)</t>
  </si>
  <si>
    <t>Expectation</t>
  </si>
  <si>
    <t>ERA5 °C (Actual)</t>
  </si>
  <si>
    <t>5-yr mean ERA5</t>
  </si>
  <si>
    <t>Needed</t>
  </si>
  <si>
    <t>YES contracts bought</t>
  </si>
  <si>
    <t>Settlement (Yes or NO)</t>
  </si>
  <si>
    <t>Settlement payout  (Yes or NO)</t>
  </si>
  <si>
    <t>Mean</t>
  </si>
  <si>
    <t>Hottest</t>
  </si>
  <si>
    <t>Coldest</t>
  </si>
  <si>
    <t>P(Yes)</t>
  </si>
  <si>
    <t>Ensemble</t>
  </si>
  <si>
    <t>Regression Expectation</t>
  </si>
  <si>
    <t>K_threshold on ERA5 scale</t>
  </si>
  <si>
    <t>BIAS</t>
  </si>
  <si>
    <t>2024 - 2nd</t>
  </si>
  <si>
    <t>2023 - 1st</t>
  </si>
  <si>
    <t>dev3 (last 3 days)</t>
  </si>
  <si>
    <t>CALIBRATION AUDIT: June history 1990–2025</t>
  </si>
  <si>
    <t>DAILY TABLE</t>
  </si>
  <si>
    <t>MARKET &amp; PROFITABILITY</t>
  </si>
  <si>
    <t>Tie (1.18)</t>
  </si>
  <si>
    <t>Needed to beat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</si>
</sst>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\+0.0;\-0.0"/>
    <numFmt numFmtId="166" formatCode="0.0000"/>
    <numFmt numFmtId="169" formatCode="0.00000"/>
    <numFmt numFmtId="170" formatCode="0.0"/>
    <numFmt numFmtId="171" formatCode="\$#,##0.00"/>
    <numFmt numFmtId="174" formatCode="0.0%"/>
  </numFmts>
  <fonts count="19" x14ac:knownFonts="1">
    <font>
      <sz val="11"/>
      <color theme="1"/>
      <name val="Calibri"/>
      <family val="2"/>
      <scheme val="minor"/>
    </font>
    <font>
      <b/>
      <sz val="9"/>
      <color rgb="FF595959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1F3864"/>
      <name val="Arial"/>
      <family val="2"/>
    </font>
    <font>
      <b/>
      <sz val="10"/>
      <color rgb="FF0000FF"/>
      <name val="Arial"/>
      <family val="2"/>
    </font>
    <font>
      <i/>
      <sz val="10"/>
      <color rgb="FF595959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i/>
      <sz val="9"/>
      <color rgb="FF0000FF"/>
      <name val="Arial"/>
      <family val="2"/>
    </font>
    <font>
      <b/>
      <sz val="11"/>
      <color rgb="FF1F3864"/>
      <name val="Arial"/>
      <family val="2"/>
    </font>
    <font>
      <i/>
      <sz val="9"/>
      <color rgb="FF595959"/>
      <name val="Arial"/>
      <family val="2"/>
    </font>
    <font>
      <b/>
      <sz val="12"/>
      <color rgb="FF1F3864"/>
      <name val="Arial"/>
      <family val="2"/>
    </font>
    <font>
      <b/>
      <sz val="14"/>
      <color theme="0"/>
      <name val="Arial"/>
      <family val="2"/>
    </font>
    <font>
      <sz val="11"/>
      <color theme="0"/>
      <name val="Calibri"/>
      <family val="2"/>
      <scheme val="minor"/>
    </font>
    <font>
      <b/>
      <sz val="9"/>
      <color rgb="FFFF0000"/>
      <name val="Arial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1F3764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3" fillId="0" borderId="0" xfId="0" applyFont="1"/>
    <xf numFmtId="0" fontId="4" fillId="0" borderId="0" xfId="0" applyFont="1"/>
    <xf numFmtId="0" fontId="6" fillId="3" borderId="0" xfId="0" applyFont="1" applyFill="1"/>
    <xf numFmtId="0" fontId="0" fillId="3" borderId="0" xfId="0" applyFill="1"/>
    <xf numFmtId="2" fontId="7" fillId="0" borderId="0" xfId="0" applyNumberFormat="1" applyFont="1"/>
    <xf numFmtId="0" fontId="8" fillId="0" borderId="0" xfId="0" applyFont="1"/>
    <xf numFmtId="164" fontId="7" fillId="0" borderId="0" xfId="0" applyNumberFormat="1" applyFont="1"/>
    <xf numFmtId="164" fontId="5" fillId="0" borderId="0" xfId="0" applyNumberFormat="1" applyFont="1"/>
    <xf numFmtId="166" fontId="3" fillId="0" borderId="0" xfId="0" applyNumberFormat="1" applyFont="1"/>
    <xf numFmtId="1" fontId="0" fillId="0" borderId="0" xfId="0" applyNumberFormat="1"/>
    <xf numFmtId="0" fontId="1" fillId="0" borderId="0" xfId="0" applyFont="1"/>
    <xf numFmtId="1" fontId="5" fillId="0" borderId="0" xfId="0" applyNumberFormat="1" applyFont="1"/>
    <xf numFmtId="166" fontId="0" fillId="0" borderId="0" xfId="0" applyNumberFormat="1"/>
    <xf numFmtId="166" fontId="11" fillId="0" borderId="0" xfId="0" applyNumberFormat="1" applyFont="1"/>
    <xf numFmtId="165" fontId="5" fillId="4" borderId="0" xfId="0" applyNumberFormat="1" applyFont="1" applyFill="1"/>
    <xf numFmtId="2" fontId="5" fillId="4" borderId="0" xfId="0" applyNumberFormat="1" applyFont="1" applyFill="1"/>
    <xf numFmtId="166" fontId="5" fillId="0" borderId="0" xfId="0" applyNumberFormat="1" applyFont="1"/>
    <xf numFmtId="164" fontId="0" fillId="0" borderId="0" xfId="0" applyNumberFormat="1"/>
    <xf numFmtId="0" fontId="9" fillId="2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/>
    <xf numFmtId="49" fontId="5" fillId="4" borderId="1" xfId="0" applyNumberFormat="1" applyFont="1" applyFill="1" applyBorder="1"/>
    <xf numFmtId="164" fontId="0" fillId="0" borderId="1" xfId="0" applyNumberFormat="1" applyBorder="1"/>
    <xf numFmtId="164" fontId="10" fillId="5" borderId="1" xfId="0" applyNumberFormat="1" applyFont="1" applyFill="1" applyBorder="1"/>
    <xf numFmtId="169" fontId="10" fillId="5" borderId="1" xfId="0" applyNumberFormat="1" applyFont="1" applyFill="1" applyBorder="1"/>
    <xf numFmtId="1" fontId="3" fillId="0" borderId="0" xfId="0" applyNumberFormat="1" applyFont="1"/>
    <xf numFmtId="164" fontId="4" fillId="0" borderId="0" xfId="0" applyNumberFormat="1" applyFont="1"/>
    <xf numFmtId="1" fontId="4" fillId="0" borderId="0" xfId="0" applyNumberFormat="1" applyFont="1"/>
    <xf numFmtId="164" fontId="3" fillId="0" borderId="0" xfId="0" applyNumberFormat="1" applyFont="1"/>
    <xf numFmtId="166" fontId="4" fillId="0" borderId="0" xfId="0" applyNumberFormat="1" applyFont="1"/>
    <xf numFmtId="164" fontId="6" fillId="0" borderId="0" xfId="0" applyNumberFormat="1" applyFont="1"/>
    <xf numFmtId="10" fontId="4" fillId="0" borderId="0" xfId="0" applyNumberFormat="1" applyFont="1"/>
    <xf numFmtId="174" fontId="4" fillId="0" borderId="0" xfId="0" applyNumberFormat="1" applyFont="1"/>
    <xf numFmtId="0" fontId="9" fillId="2" borderId="1" xfId="0" applyFont="1" applyFill="1" applyBorder="1" applyAlignment="1">
      <alignment horizontal="center" wrapText="1"/>
    </xf>
    <xf numFmtId="170" fontId="5" fillId="4" borderId="1" xfId="0" applyNumberFormat="1" applyFont="1" applyFill="1" applyBorder="1"/>
    <xf numFmtId="3" fontId="5" fillId="4" borderId="1" xfId="0" applyNumberFormat="1" applyFont="1" applyFill="1" applyBorder="1"/>
    <xf numFmtId="1" fontId="10" fillId="0" borderId="1" xfId="0" applyNumberFormat="1" applyFont="1" applyBorder="1"/>
    <xf numFmtId="166" fontId="10" fillId="0" borderId="1" xfId="0" applyNumberFormat="1" applyFont="1" applyBorder="1"/>
    <xf numFmtId="2" fontId="10" fillId="0" borderId="1" xfId="0" applyNumberFormat="1" applyFont="1" applyBorder="1"/>
    <xf numFmtId="0" fontId="13" fillId="0" borderId="0" xfId="0" applyFont="1"/>
    <xf numFmtId="0" fontId="10" fillId="0" borderId="1" xfId="0" applyFont="1" applyBorder="1"/>
    <xf numFmtId="166" fontId="5" fillId="4" borderId="1" xfId="0" applyNumberFormat="1" applyFont="1" applyFill="1" applyBorder="1"/>
    <xf numFmtId="10" fontId="0" fillId="0" borderId="1" xfId="0" applyNumberFormat="1" applyBorder="1"/>
    <xf numFmtId="1" fontId="0" fillId="0" borderId="1" xfId="0" applyNumberFormat="1" applyBorder="1"/>
    <xf numFmtId="0" fontId="12" fillId="0" borderId="0" xfId="0" applyFont="1"/>
    <xf numFmtId="10" fontId="14" fillId="0" borderId="0" xfId="0" applyNumberFormat="1" applyFont="1"/>
    <xf numFmtId="0" fontId="0" fillId="0" borderId="0" xfId="0" applyFill="1"/>
    <xf numFmtId="0" fontId="15" fillId="7" borderId="0" xfId="0" applyFont="1" applyFill="1"/>
    <xf numFmtId="0" fontId="16" fillId="7" borderId="0" xfId="0" applyFont="1" applyFill="1"/>
    <xf numFmtId="0" fontId="2" fillId="7" borderId="2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center" vertical="center" wrapText="1"/>
    </xf>
    <xf numFmtId="0" fontId="4" fillId="0" borderId="0" xfId="0" applyFont="1" applyBorder="1"/>
    <xf numFmtId="0" fontId="0" fillId="0" borderId="0" xfId="0" applyBorder="1"/>
    <xf numFmtId="3" fontId="5" fillId="4" borderId="4" xfId="0" applyNumberFormat="1" applyFont="1" applyFill="1" applyBorder="1"/>
    <xf numFmtId="164" fontId="5" fillId="4" borderId="4" xfId="0" applyNumberFormat="1" applyFont="1" applyFill="1" applyBorder="1"/>
    <xf numFmtId="171" fontId="5" fillId="4" borderId="4" xfId="0" applyNumberFormat="1" applyFont="1" applyFill="1" applyBorder="1"/>
    <xf numFmtId="0" fontId="4" fillId="0" borderId="8" xfId="0" applyFont="1" applyBorder="1"/>
    <xf numFmtId="0" fontId="3" fillId="0" borderId="8" xfId="0" applyFont="1" applyBorder="1"/>
    <xf numFmtId="0" fontId="4" fillId="0" borderId="9" xfId="0" applyFont="1" applyBorder="1"/>
    <xf numFmtId="0" fontId="10" fillId="6" borderId="0" xfId="0" applyFont="1" applyFill="1" applyBorder="1"/>
    <xf numFmtId="166" fontId="5" fillId="6" borderId="0" xfId="0" applyNumberFormat="1" applyFont="1" applyFill="1" applyBorder="1"/>
    <xf numFmtId="164" fontId="0" fillId="6" borderId="0" xfId="0" applyNumberFormat="1" applyFill="1" applyBorder="1"/>
    <xf numFmtId="10" fontId="0" fillId="6" borderId="0" xfId="0" applyNumberFormat="1" applyFill="1" applyBorder="1"/>
    <xf numFmtId="1" fontId="0" fillId="6" borderId="0" xfId="0" applyNumberFormat="1" applyFill="1" applyBorder="1"/>
    <xf numFmtId="0" fontId="9" fillId="2" borderId="10" xfId="0" applyFont="1" applyFill="1" applyBorder="1" applyAlignment="1">
      <alignment horizontal="center" wrapText="1"/>
    </xf>
    <xf numFmtId="166" fontId="10" fillId="0" borderId="10" xfId="0" applyNumberFormat="1" applyFont="1" applyBorder="1"/>
    <xf numFmtId="164" fontId="0" fillId="0" borderId="0" xfId="0" applyNumberFormat="1" applyBorder="1"/>
    <xf numFmtId="10" fontId="0" fillId="0" borderId="0" xfId="0" applyNumberFormat="1" applyBorder="1"/>
    <xf numFmtId="1" fontId="0" fillId="0" borderId="0" xfId="0" applyNumberFormat="1" applyBorder="1"/>
    <xf numFmtId="0" fontId="9" fillId="6" borderId="0" xfId="0" applyFont="1" applyFill="1" applyBorder="1" applyAlignment="1">
      <alignment horizontal="center" wrapText="1"/>
    </xf>
    <xf numFmtId="0" fontId="0" fillId="6" borderId="0" xfId="0" applyFill="1" applyBorder="1"/>
    <xf numFmtId="166" fontId="10" fillId="6" borderId="0" xfId="0" applyNumberFormat="1" applyFont="1" applyFill="1" applyBorder="1"/>
    <xf numFmtId="49" fontId="5" fillId="4" borderId="11" xfId="0" applyNumberFormat="1" applyFont="1" applyFill="1" applyBorder="1"/>
    <xf numFmtId="164" fontId="5" fillId="4" borderId="11" xfId="0" applyNumberFormat="1" applyFont="1" applyFill="1" applyBorder="1"/>
    <xf numFmtId="170" fontId="5" fillId="4" borderId="11" xfId="0" applyNumberFormat="1" applyFont="1" applyFill="1" applyBorder="1"/>
    <xf numFmtId="3" fontId="5" fillId="4" borderId="11" xfId="0" applyNumberFormat="1" applyFont="1" applyFill="1" applyBorder="1"/>
    <xf numFmtId="49" fontId="5" fillId="6" borderId="0" xfId="0" applyNumberFormat="1" applyFont="1" applyFill="1" applyBorder="1"/>
    <xf numFmtId="164" fontId="5" fillId="6" borderId="0" xfId="0" applyNumberFormat="1" applyFont="1" applyFill="1" applyBorder="1"/>
    <xf numFmtId="170" fontId="5" fillId="6" borderId="0" xfId="0" applyNumberFormat="1" applyFont="1" applyFill="1" applyBorder="1"/>
    <xf numFmtId="3" fontId="5" fillId="6" borderId="0" xfId="0" applyNumberFormat="1" applyFont="1" applyFill="1" applyBorder="1"/>
    <xf numFmtId="0" fontId="2" fillId="6" borderId="0" xfId="0" applyFont="1" applyFill="1" applyBorder="1" applyAlignment="1">
      <alignment vertical="center"/>
    </xf>
    <xf numFmtId="10" fontId="0" fillId="0" borderId="11" xfId="0" applyNumberFormat="1" applyBorder="1"/>
    <xf numFmtId="1" fontId="0" fillId="0" borderId="11" xfId="0" applyNumberFormat="1" applyBorder="1"/>
    <xf numFmtId="164" fontId="0" fillId="0" borderId="11" xfId="0" applyNumberFormat="1" applyBorder="1"/>
    <xf numFmtId="0" fontId="3" fillId="6" borderId="0" xfId="0" applyFont="1" applyFill="1" applyBorder="1"/>
    <xf numFmtId="0" fontId="2" fillId="8" borderId="5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10" fontId="0" fillId="0" borderId="3" xfId="0" applyNumberFormat="1" applyFill="1" applyBorder="1"/>
  </cellXfs>
  <cellStyles count="1">
    <cellStyle name="Normal" xfId="0" builtinId="0"/>
  </cellStyles>
  <dxfs count="2"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mruColors>
      <color rgb="FF1F3764"/>
      <color rgb="FFFF4846"/>
      <color rgb="FFFF91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4"/>
  <sheetViews>
    <sheetView showGridLines="0" tabSelected="1" zoomScale="82" zoomScaleNormal="200" workbookViewId="0">
      <selection activeCell="Q13" sqref="Q13"/>
    </sheetView>
  </sheetViews>
  <sheetFormatPr baseColWidth="10" defaultColWidth="8.83203125" defaultRowHeight="15" x14ac:dyDescent="0.2"/>
  <cols>
    <col min="1" max="1" width="15.83203125" customWidth="1"/>
    <col min="2" max="2" width="14.83203125" bestFit="1" customWidth="1"/>
    <col min="3" max="3" width="16.83203125" bestFit="1" customWidth="1"/>
    <col min="4" max="4" width="6.6640625" bestFit="1" customWidth="1"/>
    <col min="5" max="5" width="16.83203125" bestFit="1" customWidth="1"/>
    <col min="6" max="6" width="25.6640625" bestFit="1" customWidth="1"/>
    <col min="7" max="7" width="16.83203125" bestFit="1" customWidth="1"/>
    <col min="8" max="8" width="10.5" bestFit="1" customWidth="1"/>
    <col min="9" max="9" width="15.1640625" bestFit="1" customWidth="1"/>
    <col min="10" max="10" width="8.83203125" bestFit="1" customWidth="1"/>
    <col min="11" max="11" width="22.1640625" bestFit="1" customWidth="1"/>
    <col min="12" max="12" width="12.83203125" customWidth="1"/>
    <col min="13" max="13" width="25.6640625" bestFit="1" customWidth="1"/>
    <col min="14" max="14" width="9.5" bestFit="1" customWidth="1"/>
    <col min="15" max="15" width="7.5" bestFit="1" customWidth="1"/>
    <col min="16" max="16" width="9.33203125" bestFit="1" customWidth="1"/>
    <col min="17" max="17" width="36.33203125" bestFit="1" customWidth="1"/>
    <col min="18" max="18" width="7.6640625" bestFit="1" customWidth="1"/>
    <col min="19" max="19" width="6.6640625" bestFit="1" customWidth="1"/>
    <col min="20" max="20" width="7.83203125" customWidth="1"/>
    <col min="21" max="21" width="6.83203125" bestFit="1" customWidth="1"/>
    <col min="22" max="23" width="6.1640625" bestFit="1" customWidth="1"/>
    <col min="24" max="24" width="2.5" bestFit="1" customWidth="1"/>
    <col min="25" max="25" width="6.1640625" bestFit="1" customWidth="1"/>
    <col min="26" max="26" width="6" bestFit="1" customWidth="1"/>
    <col min="27" max="27" width="8.6640625" bestFit="1" customWidth="1"/>
    <col min="28" max="28" width="7.33203125" bestFit="1" customWidth="1"/>
  </cols>
  <sheetData>
    <row r="1" spans="1:22" ht="18" x14ac:dyDescent="0.2">
      <c r="A1" s="47" t="s">
        <v>61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Q1" s="1"/>
      <c r="R1" s="25"/>
      <c r="T1" s="6"/>
    </row>
    <row r="2" spans="1:22" x14ac:dyDescent="0.2">
      <c r="A2" s="3" t="s">
        <v>0</v>
      </c>
      <c r="B2" s="4"/>
      <c r="C2" s="4"/>
      <c r="D2" s="4"/>
      <c r="E2" s="3" t="s">
        <v>62</v>
      </c>
      <c r="F2" s="4"/>
      <c r="G2" s="4"/>
      <c r="H2" s="4"/>
      <c r="I2" s="4"/>
      <c r="J2" s="33" t="s">
        <v>78</v>
      </c>
      <c r="K2" s="33" t="s">
        <v>77</v>
      </c>
      <c r="L2" s="33" t="s">
        <v>60</v>
      </c>
      <c r="M2" s="85" t="s">
        <v>87</v>
      </c>
      <c r="N2" s="86"/>
      <c r="O2" s="87"/>
      <c r="Q2" s="2"/>
      <c r="R2" s="26"/>
      <c r="T2" s="6"/>
    </row>
    <row r="3" spans="1:22" x14ac:dyDescent="0.2">
      <c r="A3" s="2" t="s">
        <v>1</v>
      </c>
      <c r="C3" s="5">
        <v>1.18</v>
      </c>
      <c r="D3" s="6"/>
      <c r="E3" s="11" t="s">
        <v>6</v>
      </c>
      <c r="F3" s="11" t="s">
        <v>7</v>
      </c>
      <c r="G3" s="11" t="s">
        <v>8</v>
      </c>
      <c r="H3" s="11" t="s">
        <v>9</v>
      </c>
      <c r="J3" s="42" t="s">
        <v>74</v>
      </c>
      <c r="K3" s="43" t="str">
        <f>IF(ISNUMBER($N20),IF($N20&gt;=Jun_2026!$C$9,1,0),"")</f>
        <v/>
      </c>
      <c r="L3" s="22" t="str">
        <f>IF(ISNUMBER($N20),Jun_2026!$C$14+Jun_2026!$D$14*$N20,"")</f>
        <v/>
      </c>
      <c r="M3" s="56" t="s">
        <v>66</v>
      </c>
      <c r="N3" s="53"/>
      <c r="P3" s="2"/>
      <c r="Q3" s="27"/>
      <c r="S3" s="6"/>
    </row>
    <row r="4" spans="1:22" x14ac:dyDescent="0.2">
      <c r="A4" s="2" t="s">
        <v>70</v>
      </c>
      <c r="C4" s="7">
        <v>1.1850000000000001</v>
      </c>
      <c r="D4" s="6"/>
      <c r="E4" s="12">
        <v>2</v>
      </c>
      <c r="F4" s="13">
        <f>IFERROR(INDEX(LINEST($B$57:$B$73,$E$57:$F$73),3,2),$G$4)</f>
        <v>7.3800000000000004E-2</v>
      </c>
      <c r="G4" s="14">
        <v>7.3800000000000004E-2</v>
      </c>
      <c r="H4" s="9">
        <f>IFERROR(SQRT(($C$6*$F$4)^2+$C$7^2),"")</f>
        <v>6.8763395188953094E-2</v>
      </c>
      <c r="J4" s="42" t="s">
        <v>75</v>
      </c>
      <c r="K4" s="43" t="str">
        <f>IF(ISNUMBER($N21),IF($N21&gt;=Jun_2026!$C$9,1,0),"")</f>
        <v/>
      </c>
      <c r="L4" s="22" t="str">
        <f>IF(ISNUMBER($N21),Jun_2026!$C$14+Jun_2026!$D$14*$N21,"")</f>
        <v/>
      </c>
      <c r="M4" s="56" t="s">
        <v>19</v>
      </c>
      <c r="N4" s="54"/>
      <c r="P4" s="2"/>
      <c r="Q4" s="26" t="str">
        <f>IFERROR(AVERAGE(#REF!),"")</f>
        <v/>
      </c>
      <c r="S4" s="6"/>
    </row>
    <row r="5" spans="1:22" x14ac:dyDescent="0.2">
      <c r="A5" s="2" t="s">
        <v>2</v>
      </c>
      <c r="C5" s="9">
        <f>INTERCEPT($C$57:$C$73,$B$57:$B$73)</f>
        <v>0.62637622775837498</v>
      </c>
      <c r="D5" s="6"/>
      <c r="E5" s="12">
        <v>10</v>
      </c>
      <c r="F5" s="13">
        <f>IFERROR(INDEX(LINEST($B$57:$B$73,$I$57:$J$73),3,2),$G$5)</f>
        <v>5.3499999999999999E-2</v>
      </c>
      <c r="G5" s="14">
        <v>5.3499999999999999E-2</v>
      </c>
      <c r="H5" s="9">
        <f>IFERROR(SQRT(($C$6*$F$5)^2+$C$7^2),"")</f>
        <v>5.4939087456850527E-2</v>
      </c>
      <c r="J5" s="81" t="s">
        <v>76</v>
      </c>
      <c r="K5" s="82" t="str">
        <f>IF(ISNUMBER($N22),IF($N22&gt;=Jun_2026!$C$9,1,0),"")</f>
        <v/>
      </c>
      <c r="L5" s="83" t="str">
        <f>IF(ISNUMBER($N22),Jun_2026!$C$14+Jun_2026!$D$14*$N22,"")</f>
        <v/>
      </c>
      <c r="M5" s="56" t="s">
        <v>65</v>
      </c>
      <c r="N5" s="55"/>
      <c r="P5" s="2"/>
      <c r="Q5" s="27"/>
    </row>
    <row r="6" spans="1:22" x14ac:dyDescent="0.2">
      <c r="A6" s="2" t="s">
        <v>3</v>
      </c>
      <c r="C6" s="9">
        <f>SLOPE($C$57:$C$73,$B$57:$B$73)</f>
        <v>0.81348337818980931</v>
      </c>
      <c r="D6" s="6"/>
      <c r="E6" s="12">
        <v>15</v>
      </c>
      <c r="F6" s="13">
        <f>IFERROR(INDEX(LINEST($B$57:$B$73,$K$57:$L$73),3,2),$G$6)</f>
        <v>3.8699999999999998E-2</v>
      </c>
      <c r="G6" s="14">
        <v>3.8699999999999998E-2</v>
      </c>
      <c r="H6" s="9">
        <f>IFERROR(SQRT(($C$6*$F$6)^2+$C$7^2),"")</f>
        <v>4.5992375953906907E-2</v>
      </c>
      <c r="J6" s="88" t="s">
        <v>88</v>
      </c>
      <c r="K6" s="68" t="str">
        <f>IF(ISNUMBER($N23),IF($N23&gt;=Jun_2026!$C$9,1,0),"")</f>
        <v/>
      </c>
      <c r="L6" s="66" t="str">
        <f>IF(ISNUMBER($N23),Jun_2026!$C$14+Jun_2026!$D$14*$N23,"")</f>
        <v/>
      </c>
      <c r="M6" s="51" t="s">
        <v>71</v>
      </c>
      <c r="N6" s="53"/>
      <c r="P6" s="1"/>
      <c r="Q6" s="28"/>
      <c r="S6" s="6"/>
    </row>
    <row r="7" spans="1:22" x14ac:dyDescent="0.2">
      <c r="A7" s="2" t="s">
        <v>4</v>
      </c>
      <c r="C7" s="9">
        <f>STEYX($C$57:$C$73,$B$57:$B$73)</f>
        <v>3.3529009686032826E-2</v>
      </c>
      <c r="D7" s="6"/>
      <c r="E7" s="12">
        <v>20</v>
      </c>
      <c r="F7" s="13">
        <f>IFERROR(INDEX(LINEST($B$57:$B$73,$M$57:$N$73),3,2),$G$7)</f>
        <v>2.7099999999999999E-2</v>
      </c>
      <c r="G7" s="14">
        <v>2.7099999999999999E-2</v>
      </c>
      <c r="H7" s="9">
        <f>IFERROR(SQRT(($C$6*$F$7)^2+$C$7^2),"")</f>
        <v>4.0127224322131429E-2</v>
      </c>
      <c r="J7" s="67" t="s">
        <v>84</v>
      </c>
      <c r="M7" s="56" t="s">
        <v>20</v>
      </c>
      <c r="N7" s="55"/>
      <c r="P7" s="2"/>
      <c r="Q7" s="29"/>
      <c r="S7" s="6"/>
    </row>
    <row r="8" spans="1:22" x14ac:dyDescent="0.2">
      <c r="A8" s="2" t="s">
        <v>5</v>
      </c>
      <c r="C8" s="10">
        <f>COUNT($B$57:$B$73)</f>
        <v>17</v>
      </c>
      <c r="E8" s="12">
        <v>25</v>
      </c>
      <c r="F8" s="13">
        <f>IFERROR(INDEX(LINEST($B$57:$B$73,$O$59:$P$73),3,2),$G$8)</f>
        <v>1.52E-2</v>
      </c>
      <c r="G8" s="14">
        <v>1.52E-2</v>
      </c>
      <c r="H8" s="9">
        <f>IFERROR(SQRT(($C$6*$F$8)^2+$C$7^2),"")</f>
        <v>3.5736345832455947E-2</v>
      </c>
      <c r="M8" s="56" t="s">
        <v>72</v>
      </c>
      <c r="N8" s="55"/>
      <c r="P8" s="2"/>
      <c r="Q8" s="29"/>
    </row>
    <row r="9" spans="1:22" x14ac:dyDescent="0.2">
      <c r="A9" s="2" t="s">
        <v>80</v>
      </c>
      <c r="C9" s="9">
        <f>($C$4-$C$5)/$C$6</f>
        <v>0.68670582241605671</v>
      </c>
      <c r="E9" s="12">
        <v>30</v>
      </c>
      <c r="F9" s="13">
        <v>0</v>
      </c>
      <c r="G9" s="14">
        <v>0</v>
      </c>
      <c r="H9" s="9">
        <f>IFERROR(SQRT(($C$6*$F$9)^2+$C$7^2),"")</f>
        <v>3.3529009686032826E-2</v>
      </c>
      <c r="M9" s="56" t="s">
        <v>73</v>
      </c>
      <c r="N9" s="55"/>
      <c r="P9" s="2"/>
      <c r="Q9" s="29"/>
    </row>
    <row r="10" spans="1:22" x14ac:dyDescent="0.2">
      <c r="A10" s="3" t="s">
        <v>79</v>
      </c>
      <c r="B10" s="4"/>
      <c r="C10" s="4"/>
      <c r="D10" s="4"/>
      <c r="E10" s="4"/>
      <c r="F10" s="4"/>
      <c r="G10" s="4"/>
      <c r="H10" s="4"/>
      <c r="I10" s="4"/>
      <c r="M10" s="57" t="s">
        <v>21</v>
      </c>
      <c r="N10" s="55"/>
      <c r="P10" s="2"/>
      <c r="Q10" s="29"/>
      <c r="S10" s="6"/>
    </row>
    <row r="11" spans="1:22" x14ac:dyDescent="0.2">
      <c r="A11" s="2" t="s">
        <v>10</v>
      </c>
      <c r="C11" s="15">
        <v>1</v>
      </c>
      <c r="D11" s="6"/>
      <c r="E11" s="1" t="s">
        <v>16</v>
      </c>
      <c r="F11" s="25">
        <f>COUNT($B$20:$B$49)</f>
        <v>30</v>
      </c>
      <c r="J11" s="52"/>
      <c r="K11" s="52"/>
      <c r="L11" s="52"/>
      <c r="M11" s="58" t="s">
        <v>64</v>
      </c>
      <c r="N11" s="55"/>
      <c r="P11" s="1"/>
      <c r="Q11" s="30"/>
      <c r="S11" s="6"/>
      <c r="V11" s="32"/>
    </row>
    <row r="12" spans="1:22" x14ac:dyDescent="0.2">
      <c r="A12" s="2" t="s">
        <v>11</v>
      </c>
      <c r="C12" s="16">
        <v>1.24</v>
      </c>
      <c r="D12" s="6"/>
      <c r="E12" s="2" t="s">
        <v>17</v>
      </c>
      <c r="G12" s="26" t="str">
        <f>IF($R$1=0,"",#REF!/$R$1)</f>
        <v/>
      </c>
      <c r="J12" s="52"/>
      <c r="K12" s="52"/>
      <c r="L12" s="52"/>
      <c r="M12" s="52"/>
      <c r="Q12" s="2"/>
      <c r="R12" s="29"/>
      <c r="T12" s="6"/>
    </row>
    <row r="13" spans="1:22" x14ac:dyDescent="0.2">
      <c r="A13" s="2" t="s">
        <v>12</v>
      </c>
      <c r="C13" s="8">
        <v>1.2350000000000001</v>
      </c>
      <c r="D13" s="6"/>
      <c r="E13" s="2" t="s">
        <v>18</v>
      </c>
      <c r="G13" s="27"/>
      <c r="J13" s="52"/>
      <c r="K13" s="84"/>
      <c r="L13" s="52"/>
      <c r="M13" s="52"/>
      <c r="Q13" s="2"/>
      <c r="R13" s="26"/>
    </row>
    <row r="14" spans="1:22" x14ac:dyDescent="0.2">
      <c r="A14" s="2" t="s">
        <v>13</v>
      </c>
      <c r="C14" s="17">
        <v>0.58389999999999997</v>
      </c>
      <c r="D14" s="17">
        <v>0.94820000000000004</v>
      </c>
      <c r="F14" s="17"/>
      <c r="H14" s="6"/>
      <c r="J14" s="52"/>
      <c r="K14" s="52"/>
      <c r="L14" s="52"/>
      <c r="M14" s="52"/>
      <c r="Q14" s="2"/>
      <c r="R14" s="31"/>
      <c r="T14" s="6"/>
    </row>
    <row r="15" spans="1:22" x14ac:dyDescent="0.2">
      <c r="A15" s="2" t="s">
        <v>14</v>
      </c>
      <c r="C15" s="16">
        <v>0.6</v>
      </c>
      <c r="D15" s="6"/>
      <c r="J15" s="52"/>
      <c r="K15" s="52"/>
      <c r="L15" s="52"/>
      <c r="M15" s="52"/>
      <c r="Q15" s="2"/>
      <c r="R15" s="26"/>
      <c r="T15" s="6"/>
    </row>
    <row r="16" spans="1:22" x14ac:dyDescent="0.2">
      <c r="A16" s="2" t="s">
        <v>69</v>
      </c>
      <c r="C16" s="18">
        <f>AVERAGE($B$69:$B$73)</f>
        <v>0.44097999999999998</v>
      </c>
      <c r="D16" s="6"/>
      <c r="J16" s="52"/>
      <c r="K16" s="52"/>
      <c r="L16" s="52"/>
      <c r="M16" s="52"/>
      <c r="Q16" s="2"/>
      <c r="R16" s="31"/>
    </row>
    <row r="18" spans="1:15" x14ac:dyDescent="0.2">
      <c r="A18" s="49" t="s">
        <v>86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80"/>
    </row>
    <row r="19" spans="1:15" x14ac:dyDescent="0.2">
      <c r="A19" s="19" t="s">
        <v>15</v>
      </c>
      <c r="B19" s="50" t="s">
        <v>68</v>
      </c>
      <c r="C19" s="19" t="s">
        <v>67</v>
      </c>
      <c r="D19" s="33" t="s">
        <v>81</v>
      </c>
      <c r="E19" s="33" t="s">
        <v>89</v>
      </c>
      <c r="F19" s="33" t="s">
        <v>22</v>
      </c>
      <c r="G19" s="33" t="s">
        <v>63</v>
      </c>
      <c r="H19" s="33"/>
      <c r="I19" s="19" t="s">
        <v>82</v>
      </c>
      <c r="J19" s="19" t="s">
        <v>83</v>
      </c>
      <c r="K19" s="19"/>
      <c r="L19" s="19"/>
      <c r="M19" s="33"/>
      <c r="N19" s="33"/>
    </row>
    <row r="20" spans="1:15" x14ac:dyDescent="0.2">
      <c r="A20" s="21" t="s">
        <v>23</v>
      </c>
      <c r="B20" s="20">
        <v>0.53600000000000003</v>
      </c>
      <c r="C20" s="20">
        <v>0.66249999999999998</v>
      </c>
      <c r="D20" s="20">
        <v>0.66249999999999998</v>
      </c>
      <c r="E20" s="41"/>
      <c r="F20" s="34">
        <v>10</v>
      </c>
      <c r="G20" s="35">
        <v>51</v>
      </c>
      <c r="H20" s="41"/>
      <c r="I20" s="22"/>
      <c r="J20" s="22"/>
      <c r="K20" s="24"/>
      <c r="L20" s="23"/>
      <c r="M20" s="40"/>
      <c r="N20" s="41"/>
    </row>
    <row r="21" spans="1:15" x14ac:dyDescent="0.2">
      <c r="A21" s="21" t="s">
        <v>24</v>
      </c>
      <c r="B21" s="20">
        <v>0.56699999999999995</v>
      </c>
      <c r="C21" s="20">
        <v>0.74539999999999995</v>
      </c>
      <c r="D21" s="20">
        <v>0.74539999999999995</v>
      </c>
      <c r="E21" s="41"/>
      <c r="F21" s="34">
        <v>10</v>
      </c>
      <c r="G21" s="35">
        <v>10</v>
      </c>
      <c r="H21" s="41"/>
      <c r="I21" s="22"/>
      <c r="J21" s="22"/>
      <c r="L21" s="23"/>
      <c r="M21" s="40"/>
      <c r="N21" s="41"/>
    </row>
    <row r="22" spans="1:15" x14ac:dyDescent="0.2">
      <c r="A22" s="21" t="s">
        <v>25</v>
      </c>
      <c r="B22" s="20">
        <v>0.60799999999999998</v>
      </c>
      <c r="C22" s="20">
        <v>0.68700000000000006</v>
      </c>
      <c r="D22" s="20">
        <v>0.68700000000000006</v>
      </c>
      <c r="E22" s="41"/>
      <c r="F22" s="34">
        <v>28</v>
      </c>
      <c r="G22" s="35">
        <v>1003.06</v>
      </c>
      <c r="H22" s="41"/>
      <c r="I22" s="22"/>
      <c r="J22" s="22"/>
      <c r="K22" s="24"/>
      <c r="L22" s="23"/>
      <c r="M22" s="40"/>
      <c r="N22" s="41"/>
    </row>
    <row r="23" spans="1:15" x14ac:dyDescent="0.2">
      <c r="A23" s="21" t="s">
        <v>26</v>
      </c>
      <c r="B23" s="20">
        <v>0.61099999999999999</v>
      </c>
      <c r="C23" s="20">
        <v>0.58740000000000003</v>
      </c>
      <c r="D23" s="20">
        <v>0.58740000000000003</v>
      </c>
      <c r="E23" s="41"/>
      <c r="F23" s="34">
        <v>21</v>
      </c>
      <c r="G23" s="35">
        <v>285.61</v>
      </c>
      <c r="H23" s="41"/>
      <c r="I23" s="22"/>
      <c r="J23" s="22"/>
      <c r="K23" s="24"/>
      <c r="L23" s="23"/>
      <c r="M23" s="40"/>
      <c r="N23" s="41"/>
    </row>
    <row r="24" spans="1:15" x14ac:dyDescent="0.2">
      <c r="A24" s="21" t="s">
        <v>27</v>
      </c>
      <c r="B24" s="20">
        <v>0.60499999999999998</v>
      </c>
      <c r="C24" s="20">
        <v>0.68469999999999998</v>
      </c>
      <c r="D24" s="20">
        <v>0.68469999999999998</v>
      </c>
      <c r="E24" s="41"/>
      <c r="F24" s="34">
        <v>15</v>
      </c>
      <c r="G24" s="35">
        <v>302.5</v>
      </c>
      <c r="H24" s="41"/>
      <c r="I24" s="22"/>
      <c r="J24" s="22"/>
      <c r="K24" s="24"/>
      <c r="L24" s="23"/>
      <c r="M24" s="40"/>
      <c r="N24" s="41"/>
    </row>
    <row r="25" spans="1:15" x14ac:dyDescent="0.2">
      <c r="A25" s="21" t="s">
        <v>28</v>
      </c>
      <c r="B25" s="20">
        <v>0.65100000000000002</v>
      </c>
      <c r="C25" s="20">
        <v>0.70469999999999999</v>
      </c>
      <c r="D25" s="20">
        <v>0.70469999999999999</v>
      </c>
      <c r="E25" s="41"/>
      <c r="F25" s="34">
        <v>13</v>
      </c>
      <c r="G25" s="35">
        <v>240.81</v>
      </c>
      <c r="H25" s="41"/>
      <c r="I25" s="22"/>
      <c r="J25" s="22"/>
      <c r="K25" s="24"/>
      <c r="L25" s="23"/>
      <c r="M25" s="40"/>
      <c r="N25" s="41"/>
    </row>
    <row r="26" spans="1:15" x14ac:dyDescent="0.2">
      <c r="A26" s="21" t="s">
        <v>29</v>
      </c>
      <c r="B26" s="20">
        <v>0.65300000000000002</v>
      </c>
      <c r="C26" s="20">
        <v>0.80069999999999997</v>
      </c>
      <c r="D26" s="20">
        <v>0.80069999999999997</v>
      </c>
      <c r="E26" s="41"/>
      <c r="F26" s="34">
        <v>13</v>
      </c>
      <c r="G26" s="35">
        <v>21</v>
      </c>
      <c r="H26" s="41"/>
      <c r="I26" s="22"/>
      <c r="J26" s="22"/>
      <c r="K26" s="24"/>
      <c r="L26" s="23"/>
      <c r="M26" s="40"/>
      <c r="N26" s="41"/>
    </row>
    <row r="27" spans="1:15" x14ac:dyDescent="0.2">
      <c r="A27" s="21" t="s">
        <v>30</v>
      </c>
      <c r="B27" s="20">
        <v>0.64600000000000002</v>
      </c>
      <c r="C27" s="20">
        <v>0.7268</v>
      </c>
      <c r="D27" s="20">
        <v>0.7268</v>
      </c>
      <c r="E27" s="41"/>
      <c r="F27" s="34">
        <v>15</v>
      </c>
      <c r="G27" s="35">
        <v>27.22</v>
      </c>
      <c r="H27" s="41"/>
      <c r="I27" s="22"/>
      <c r="J27" s="22"/>
      <c r="K27" s="24"/>
      <c r="L27" s="23"/>
      <c r="M27" s="40"/>
      <c r="N27" s="41"/>
    </row>
    <row r="28" spans="1:15" x14ac:dyDescent="0.2">
      <c r="A28" s="21" t="s">
        <v>31</v>
      </c>
      <c r="B28" s="20">
        <v>0.60699999999999998</v>
      </c>
      <c r="C28" s="20">
        <v>0.69950000000000001</v>
      </c>
      <c r="D28" s="20">
        <v>0.69950000000000001</v>
      </c>
      <c r="E28" s="41"/>
      <c r="F28" s="34">
        <v>15</v>
      </c>
      <c r="G28" s="35">
        <v>720.73</v>
      </c>
      <c r="H28" s="41"/>
      <c r="I28" s="22"/>
      <c r="J28" s="22"/>
      <c r="K28" s="24"/>
      <c r="L28" s="23"/>
      <c r="M28" s="40"/>
      <c r="N28" s="41"/>
    </row>
    <row r="29" spans="1:15" x14ac:dyDescent="0.2">
      <c r="A29" s="21" t="s">
        <v>32</v>
      </c>
      <c r="B29" s="20">
        <v>0.59599999999999997</v>
      </c>
      <c r="C29" s="20">
        <v>0.85350000000000004</v>
      </c>
      <c r="D29" s="20">
        <v>0.85350000000000004</v>
      </c>
      <c r="E29" s="41"/>
      <c r="F29" s="34">
        <v>13</v>
      </c>
      <c r="G29" s="35">
        <v>280.5</v>
      </c>
      <c r="H29" s="41"/>
      <c r="I29" s="22"/>
      <c r="J29" s="22"/>
      <c r="K29" s="24"/>
      <c r="L29" s="23"/>
      <c r="M29" s="40"/>
      <c r="N29" s="41"/>
    </row>
    <row r="30" spans="1:15" x14ac:dyDescent="0.2">
      <c r="A30" s="21" t="s">
        <v>33</v>
      </c>
      <c r="B30" s="20">
        <v>0.622</v>
      </c>
      <c r="C30" s="20">
        <v>0.75880000000000003</v>
      </c>
      <c r="D30" s="20">
        <v>0.75880000000000003</v>
      </c>
      <c r="E30" s="41"/>
      <c r="F30" s="34">
        <v>12</v>
      </c>
      <c r="G30" s="35">
        <v>296.2</v>
      </c>
      <c r="H30" s="41"/>
      <c r="I30" s="22"/>
      <c r="J30" s="22"/>
      <c r="K30" s="24"/>
      <c r="L30" s="23"/>
      <c r="M30" s="40"/>
      <c r="N30" s="41"/>
    </row>
    <row r="31" spans="1:15" x14ac:dyDescent="0.2">
      <c r="A31" s="21" t="s">
        <v>34</v>
      </c>
      <c r="B31" s="20">
        <v>0.6</v>
      </c>
      <c r="C31" s="20">
        <v>0.71579999999999999</v>
      </c>
      <c r="D31" s="20">
        <v>0.71579999999999999</v>
      </c>
      <c r="E31" s="41"/>
      <c r="F31" s="34">
        <v>10</v>
      </c>
      <c r="G31" s="35">
        <v>15.9</v>
      </c>
      <c r="H31" s="41"/>
      <c r="I31" s="22"/>
      <c r="J31" s="22"/>
      <c r="K31" s="24"/>
      <c r="L31" s="23"/>
      <c r="M31" s="40"/>
      <c r="N31" s="41"/>
    </row>
    <row r="32" spans="1:15" x14ac:dyDescent="0.2">
      <c r="A32" s="21" t="s">
        <v>35</v>
      </c>
      <c r="B32" s="20">
        <v>0.53500000000000003</v>
      </c>
      <c r="C32" s="20">
        <v>0.53969999999999996</v>
      </c>
      <c r="D32" s="20">
        <v>0.53969999999999996</v>
      </c>
      <c r="E32" s="41"/>
      <c r="F32" s="34">
        <v>11</v>
      </c>
      <c r="G32" s="35">
        <v>280.52999999999997</v>
      </c>
      <c r="H32" s="41"/>
      <c r="I32" s="22"/>
      <c r="J32" s="22"/>
      <c r="K32" s="24"/>
      <c r="L32" s="23"/>
      <c r="M32" s="40"/>
      <c r="N32" s="41"/>
    </row>
    <row r="33" spans="1:14" x14ac:dyDescent="0.2">
      <c r="A33" s="21" t="s">
        <v>36</v>
      </c>
      <c r="B33" s="20">
        <v>0.45600000000000002</v>
      </c>
      <c r="C33" s="20">
        <v>0.41099999999999998</v>
      </c>
      <c r="D33" s="20">
        <v>0.41099999999999998</v>
      </c>
      <c r="E33" s="41"/>
      <c r="F33" s="34">
        <v>13</v>
      </c>
      <c r="G33" s="35">
        <v>191.71</v>
      </c>
      <c r="H33" s="41"/>
      <c r="I33" s="22"/>
      <c r="J33" s="22"/>
      <c r="K33" s="24"/>
      <c r="L33" s="23"/>
      <c r="M33" s="40"/>
      <c r="N33" s="41"/>
    </row>
    <row r="34" spans="1:14" x14ac:dyDescent="0.2">
      <c r="A34" s="21" t="s">
        <v>37</v>
      </c>
      <c r="B34" s="20">
        <v>0.46100000000000002</v>
      </c>
      <c r="C34" s="20">
        <v>0.49199999999999999</v>
      </c>
      <c r="D34" s="20">
        <v>0.49199999999999999</v>
      </c>
      <c r="E34" s="41"/>
      <c r="F34" s="34">
        <v>10</v>
      </c>
      <c r="G34" s="35">
        <v>431.61</v>
      </c>
      <c r="H34" s="41"/>
      <c r="I34" s="22"/>
      <c r="J34" s="22"/>
      <c r="K34" s="24"/>
      <c r="L34" s="23"/>
      <c r="M34" s="40"/>
      <c r="N34" s="41"/>
    </row>
    <row r="35" spans="1:14" x14ac:dyDescent="0.2">
      <c r="A35" s="21" t="s">
        <v>38</v>
      </c>
      <c r="B35" s="20">
        <v>0.49299999999999999</v>
      </c>
      <c r="C35" s="20">
        <v>0.48699999999999999</v>
      </c>
      <c r="D35" s="20">
        <v>0.48699999999999999</v>
      </c>
      <c r="E35" s="41"/>
      <c r="F35" s="34">
        <v>9</v>
      </c>
      <c r="G35" s="35">
        <v>892.55</v>
      </c>
      <c r="H35" s="41"/>
      <c r="I35" s="22"/>
      <c r="J35" s="22"/>
      <c r="K35" s="24"/>
      <c r="L35" s="23"/>
      <c r="M35" s="40"/>
      <c r="N35" s="41"/>
    </row>
    <row r="36" spans="1:14" x14ac:dyDescent="0.2">
      <c r="A36" s="21" t="s">
        <v>39</v>
      </c>
      <c r="B36" s="20">
        <v>0.5</v>
      </c>
      <c r="C36" s="20">
        <v>0.59670000000000001</v>
      </c>
      <c r="D36" s="20">
        <v>0.59670000000000001</v>
      </c>
      <c r="E36" s="41"/>
      <c r="F36" s="34">
        <v>7.0000000000000009</v>
      </c>
      <c r="G36" s="35">
        <v>759.46</v>
      </c>
      <c r="H36" s="41"/>
      <c r="I36" s="22"/>
      <c r="J36" s="22"/>
      <c r="K36" s="24"/>
      <c r="L36" s="23"/>
      <c r="M36" s="40"/>
      <c r="N36" s="41"/>
    </row>
    <row r="37" spans="1:14" x14ac:dyDescent="0.2">
      <c r="A37" s="21" t="s">
        <v>40</v>
      </c>
      <c r="B37" s="20">
        <v>0.501</v>
      </c>
      <c r="C37" s="20">
        <v>0.52729999999999999</v>
      </c>
      <c r="D37" s="20">
        <v>0.52729999999999999</v>
      </c>
      <c r="E37" s="41"/>
      <c r="F37" s="34">
        <v>8</v>
      </c>
      <c r="G37" s="35">
        <v>512.99</v>
      </c>
      <c r="H37" s="41"/>
      <c r="I37" s="22"/>
      <c r="J37" s="22"/>
      <c r="K37" s="24"/>
      <c r="L37" s="23"/>
      <c r="M37" s="40"/>
      <c r="N37" s="41"/>
    </row>
    <row r="38" spans="1:14" x14ac:dyDescent="0.2">
      <c r="A38" s="21" t="s">
        <v>41</v>
      </c>
      <c r="B38" s="20">
        <v>0.46400000000000002</v>
      </c>
      <c r="C38" s="20">
        <v>0.4219</v>
      </c>
      <c r="D38" s="20">
        <v>0.4219</v>
      </c>
      <c r="E38" s="41"/>
      <c r="F38" s="34">
        <v>8</v>
      </c>
      <c r="G38" s="35">
        <v>400.01</v>
      </c>
      <c r="H38" s="41"/>
      <c r="I38" s="22"/>
      <c r="J38" s="22"/>
      <c r="K38" s="24"/>
      <c r="L38" s="23"/>
      <c r="M38" s="40"/>
      <c r="N38" s="41"/>
    </row>
    <row r="39" spans="1:14" x14ac:dyDescent="0.2">
      <c r="A39" s="21" t="s">
        <v>42</v>
      </c>
      <c r="B39" s="20">
        <v>0.47199999999999998</v>
      </c>
      <c r="C39" s="20">
        <v>0.39150000000000001</v>
      </c>
      <c r="D39" s="20">
        <v>0.39150000000000001</v>
      </c>
      <c r="E39" s="41"/>
      <c r="F39" s="34">
        <v>6</v>
      </c>
      <c r="G39" s="35">
        <v>1659.22</v>
      </c>
      <c r="H39" s="41"/>
      <c r="I39" s="22"/>
      <c r="J39" s="22"/>
      <c r="K39" s="24"/>
      <c r="L39" s="23"/>
      <c r="M39" s="40"/>
      <c r="N39" s="41"/>
    </row>
    <row r="40" spans="1:14" x14ac:dyDescent="0.2">
      <c r="A40" s="21" t="s">
        <v>43</v>
      </c>
      <c r="B40" s="20">
        <v>0.52900000000000003</v>
      </c>
      <c r="C40" s="20">
        <v>0.54659999999999997</v>
      </c>
      <c r="D40" s="20">
        <v>0.54659999999999997</v>
      </c>
      <c r="E40" s="41"/>
      <c r="F40" s="34">
        <v>6</v>
      </c>
      <c r="G40" s="35">
        <v>1167.58</v>
      </c>
      <c r="H40" s="41"/>
      <c r="I40" s="22"/>
      <c r="J40" s="22"/>
      <c r="K40" s="24"/>
      <c r="L40" s="23"/>
      <c r="M40" s="40"/>
      <c r="N40" s="41"/>
    </row>
    <row r="41" spans="1:14" x14ac:dyDescent="0.2">
      <c r="A41" s="21" t="s">
        <v>44</v>
      </c>
      <c r="B41" s="20">
        <v>0.54700000000000004</v>
      </c>
      <c r="C41" s="20">
        <v>0.59499999999999997</v>
      </c>
      <c r="D41" s="20">
        <v>0.59499999999999997</v>
      </c>
      <c r="E41" s="41"/>
      <c r="F41" s="34">
        <v>3</v>
      </c>
      <c r="G41" s="35">
        <v>428.88</v>
      </c>
      <c r="H41" s="41"/>
      <c r="I41" s="22"/>
      <c r="J41" s="22"/>
      <c r="K41" s="24"/>
      <c r="L41" s="23"/>
      <c r="M41" s="40"/>
      <c r="N41" s="41"/>
    </row>
    <row r="42" spans="1:14" x14ac:dyDescent="0.2">
      <c r="A42" s="21" t="s">
        <v>45</v>
      </c>
      <c r="B42" s="20">
        <v>0.47899999999999998</v>
      </c>
      <c r="C42" s="20">
        <v>0.50139999999999996</v>
      </c>
      <c r="D42" s="20">
        <v>0.50139999999999996</v>
      </c>
      <c r="E42" s="41"/>
      <c r="F42" s="34">
        <v>4</v>
      </c>
      <c r="G42" s="35">
        <v>982.83</v>
      </c>
      <c r="H42" s="41"/>
      <c r="I42" s="22"/>
      <c r="J42" s="22"/>
      <c r="K42" s="24"/>
      <c r="L42" s="23"/>
      <c r="M42" s="40"/>
      <c r="N42" s="41"/>
    </row>
    <row r="43" spans="1:14" x14ac:dyDescent="0.2">
      <c r="A43" s="21" t="s">
        <v>46</v>
      </c>
      <c r="B43" s="20">
        <v>0.442</v>
      </c>
      <c r="C43" s="20">
        <v>0.497</v>
      </c>
      <c r="D43" s="20">
        <v>0.497</v>
      </c>
      <c r="E43" s="41"/>
      <c r="F43" s="34">
        <v>4</v>
      </c>
      <c r="G43" s="35">
        <v>721.82</v>
      </c>
      <c r="H43" s="41"/>
      <c r="I43" s="22"/>
      <c r="J43" s="22"/>
      <c r="K43" s="24"/>
      <c r="L43" s="23"/>
      <c r="M43" s="40"/>
      <c r="N43" s="41"/>
    </row>
    <row r="44" spans="1:14" x14ac:dyDescent="0.2">
      <c r="A44" s="21" t="s">
        <v>47</v>
      </c>
      <c r="B44" s="20">
        <v>0.48799999999999999</v>
      </c>
      <c r="C44" s="20">
        <v>0.54149999999999998</v>
      </c>
      <c r="D44" s="20">
        <v>0.54149999999999998</v>
      </c>
      <c r="E44" s="41"/>
      <c r="F44" s="34">
        <v>5</v>
      </c>
      <c r="G44" s="35">
        <v>748.13</v>
      </c>
      <c r="H44" s="41"/>
      <c r="I44" s="22"/>
      <c r="J44" s="22"/>
      <c r="K44" s="24"/>
      <c r="L44" s="23"/>
      <c r="M44" s="40"/>
      <c r="N44" s="41"/>
    </row>
    <row r="45" spans="1:14" x14ac:dyDescent="0.2">
      <c r="A45" s="21" t="s">
        <v>48</v>
      </c>
      <c r="B45" s="20">
        <v>0.57299999999999995</v>
      </c>
      <c r="C45" s="20">
        <v>0.55769999999999997</v>
      </c>
      <c r="D45" s="20">
        <v>0.55769999999999997</v>
      </c>
      <c r="E45" s="41"/>
      <c r="F45" s="34">
        <v>3</v>
      </c>
      <c r="G45" s="35">
        <v>1069.21</v>
      </c>
      <c r="H45" s="41"/>
      <c r="I45" s="22"/>
      <c r="J45" s="22"/>
      <c r="K45" s="24"/>
      <c r="L45" s="23"/>
      <c r="M45" s="40"/>
      <c r="N45" s="41"/>
    </row>
    <row r="46" spans="1:14" x14ac:dyDescent="0.2">
      <c r="A46" s="21" t="s">
        <v>49</v>
      </c>
      <c r="B46" s="20">
        <v>0.60899999999999999</v>
      </c>
      <c r="C46" s="20">
        <v>0.73199999999999998</v>
      </c>
      <c r="D46" s="20">
        <v>0.73199999999999998</v>
      </c>
      <c r="E46" s="41"/>
      <c r="F46" s="34">
        <v>3</v>
      </c>
      <c r="G46" s="35">
        <v>236.95</v>
      </c>
      <c r="H46" s="41"/>
      <c r="I46" s="22"/>
      <c r="J46" s="22"/>
      <c r="K46" s="24"/>
      <c r="L46" s="23"/>
      <c r="M46" s="40"/>
      <c r="N46" s="41"/>
    </row>
    <row r="47" spans="1:14" x14ac:dyDescent="0.2">
      <c r="A47" s="21" t="s">
        <v>50</v>
      </c>
      <c r="B47" s="20">
        <v>0.65300000000000002</v>
      </c>
      <c r="C47" s="20">
        <v>0.88</v>
      </c>
      <c r="D47" s="20">
        <v>0.88</v>
      </c>
      <c r="E47" s="41"/>
      <c r="F47" s="34">
        <v>5</v>
      </c>
      <c r="G47" s="35">
        <v>774.95</v>
      </c>
      <c r="H47" s="41"/>
      <c r="I47" s="22"/>
      <c r="J47" s="22"/>
      <c r="K47" s="24"/>
      <c r="L47" s="23"/>
      <c r="M47" s="40"/>
      <c r="N47" s="41"/>
    </row>
    <row r="48" spans="1:14" x14ac:dyDescent="0.2">
      <c r="A48" s="21" t="s">
        <v>51</v>
      </c>
      <c r="B48" s="20">
        <v>0.64</v>
      </c>
      <c r="C48" s="20">
        <v>0.80310000000000004</v>
      </c>
      <c r="D48" s="20">
        <v>0.80310000000000004</v>
      </c>
      <c r="E48" s="41"/>
      <c r="F48" s="34">
        <v>1</v>
      </c>
      <c r="G48" s="35">
        <v>1464.24</v>
      </c>
      <c r="H48" s="41"/>
      <c r="I48" s="22"/>
      <c r="J48" s="22"/>
      <c r="K48" s="24"/>
      <c r="L48" s="23"/>
      <c r="M48" s="40"/>
      <c r="N48" s="41"/>
    </row>
    <row r="49" spans="1:26" x14ac:dyDescent="0.2">
      <c r="A49" s="21" t="s">
        <v>52</v>
      </c>
      <c r="B49" s="20">
        <v>0.63500000000000001</v>
      </c>
      <c r="C49" s="20">
        <v>0.69089999999999996</v>
      </c>
      <c r="D49" s="20">
        <v>0.69089999999999996</v>
      </c>
      <c r="E49" s="41"/>
      <c r="F49" s="34">
        <v>4</v>
      </c>
      <c r="G49" s="35">
        <v>1797.72</v>
      </c>
      <c r="H49" s="41"/>
      <c r="I49" s="22"/>
      <c r="J49" s="22"/>
      <c r="K49" s="24"/>
      <c r="L49" s="23"/>
      <c r="M49" s="40"/>
      <c r="N49" s="41"/>
    </row>
    <row r="50" spans="1:26" x14ac:dyDescent="0.2">
      <c r="A50" s="21" t="s">
        <v>53</v>
      </c>
      <c r="B50" s="20">
        <v>0.63500000000000001</v>
      </c>
      <c r="C50" s="20">
        <v>0.63500000000000001</v>
      </c>
      <c r="D50" s="20">
        <v>0.63500000000000001</v>
      </c>
      <c r="E50" s="41"/>
      <c r="F50" s="34">
        <v>5</v>
      </c>
      <c r="G50" s="35">
        <v>2166.13</v>
      </c>
      <c r="H50" s="41"/>
      <c r="I50" s="22"/>
      <c r="J50" s="22"/>
      <c r="K50" s="24"/>
      <c r="L50" s="23"/>
      <c r="M50" s="40"/>
      <c r="N50" s="41"/>
      <c r="T50" s="59"/>
      <c r="U50" s="60"/>
      <c r="V50" s="61"/>
      <c r="W50" s="62"/>
      <c r="X50" s="63"/>
      <c r="Y50" s="61"/>
      <c r="Z50" s="62"/>
    </row>
    <row r="51" spans="1:26" x14ac:dyDescent="0.2">
      <c r="A51" s="21" t="s">
        <v>54</v>
      </c>
      <c r="B51" s="20">
        <v>0.63500000000000001</v>
      </c>
      <c r="C51" s="20">
        <v>0.63500000000000001</v>
      </c>
      <c r="D51" s="20">
        <v>0.63500000000000001</v>
      </c>
      <c r="E51" s="41"/>
      <c r="F51" s="34">
        <v>5</v>
      </c>
      <c r="G51" s="35">
        <v>836.56</v>
      </c>
      <c r="H51" s="41"/>
      <c r="I51" s="22"/>
      <c r="J51" s="22"/>
      <c r="K51" s="24"/>
      <c r="L51" s="23"/>
      <c r="M51" s="40"/>
      <c r="N51" s="41"/>
      <c r="T51" s="59"/>
      <c r="U51" s="60"/>
      <c r="V51" s="61"/>
      <c r="W51" s="62"/>
      <c r="X51" s="63"/>
      <c r="Y51" s="61"/>
      <c r="Z51" s="62"/>
    </row>
    <row r="52" spans="1:26" x14ac:dyDescent="0.2">
      <c r="A52" s="21" t="s">
        <v>55</v>
      </c>
      <c r="B52" s="20">
        <v>0.63500000000000001</v>
      </c>
      <c r="C52" s="20">
        <v>0.63500000000000001</v>
      </c>
      <c r="D52" s="20">
        <v>0.63500000000000001</v>
      </c>
      <c r="E52" s="41"/>
      <c r="F52" s="34">
        <v>6</v>
      </c>
      <c r="G52" s="35">
        <v>4397.78</v>
      </c>
      <c r="H52" s="41"/>
      <c r="I52" s="22"/>
      <c r="J52" s="22"/>
      <c r="K52" s="24"/>
      <c r="L52" s="23"/>
      <c r="M52" s="40"/>
      <c r="N52" s="41"/>
      <c r="T52" s="59"/>
      <c r="U52" s="60"/>
      <c r="V52" s="61"/>
      <c r="W52" s="62"/>
      <c r="X52" s="63"/>
      <c r="Y52" s="61"/>
      <c r="Z52" s="62"/>
    </row>
    <row r="53" spans="1:26" x14ac:dyDescent="0.2">
      <c r="A53" s="72" t="s">
        <v>56</v>
      </c>
      <c r="B53" s="73">
        <v>0.63500000000000001</v>
      </c>
      <c r="C53" s="73">
        <v>0.63500000000000001</v>
      </c>
      <c r="D53" s="73">
        <v>0.63500000000000001</v>
      </c>
      <c r="E53" s="41"/>
      <c r="F53" s="74">
        <v>3</v>
      </c>
      <c r="G53" s="75">
        <v>1818.51</v>
      </c>
      <c r="H53" s="41"/>
      <c r="I53" s="22"/>
      <c r="J53" s="22"/>
      <c r="K53" s="24"/>
      <c r="L53" s="23"/>
      <c r="M53" s="40"/>
      <c r="N53" s="41"/>
      <c r="T53" s="59"/>
      <c r="U53" s="60"/>
      <c r="V53" s="61"/>
      <c r="W53" s="62"/>
      <c r="X53" s="63"/>
      <c r="Y53" s="61"/>
      <c r="Z53" s="62"/>
    </row>
    <row r="54" spans="1:26" x14ac:dyDescent="0.2">
      <c r="A54" s="76"/>
      <c r="B54" s="77"/>
      <c r="C54" s="77"/>
      <c r="D54" s="77"/>
      <c r="E54" s="78"/>
      <c r="F54" s="79"/>
      <c r="T54" s="59"/>
      <c r="U54" s="60"/>
      <c r="V54" s="61"/>
      <c r="W54" s="62"/>
      <c r="X54" s="63"/>
      <c r="Y54" s="61"/>
      <c r="Z54" s="62"/>
    </row>
    <row r="55" spans="1:26" x14ac:dyDescent="0.2">
      <c r="A55" s="49" t="s">
        <v>85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</row>
    <row r="56" spans="1:26" x14ac:dyDescent="0.2">
      <c r="A56" s="33" t="s">
        <v>57</v>
      </c>
      <c r="B56" s="33" t="s">
        <v>58</v>
      </c>
      <c r="C56" s="33" t="s">
        <v>59</v>
      </c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64"/>
      <c r="P56" s="69"/>
      <c r="Q56" s="69"/>
      <c r="R56" s="69"/>
      <c r="S56" s="69"/>
      <c r="T56" s="70"/>
      <c r="U56" s="70"/>
      <c r="V56" s="70"/>
      <c r="W56" s="69"/>
    </row>
    <row r="57" spans="1:26" x14ac:dyDescent="0.2">
      <c r="A57" s="36">
        <v>2009</v>
      </c>
      <c r="B57" s="37">
        <v>5.4000000000000003E-3</v>
      </c>
      <c r="C57" s="38">
        <v>0.67</v>
      </c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65"/>
      <c r="P57" s="71"/>
      <c r="Q57" s="71"/>
      <c r="R57" s="71"/>
      <c r="S57" s="61"/>
      <c r="T57" s="70"/>
      <c r="U57" s="70"/>
      <c r="V57" s="70"/>
      <c r="W57" s="62"/>
    </row>
    <row r="58" spans="1:26" x14ac:dyDescent="0.2">
      <c r="A58" s="36">
        <v>2010</v>
      </c>
      <c r="B58" s="37">
        <v>8.7599999999999997E-2</v>
      </c>
      <c r="C58" s="38">
        <v>0.68</v>
      </c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65"/>
      <c r="P58" s="71"/>
      <c r="Q58" s="71"/>
      <c r="R58" s="71"/>
      <c r="S58" s="61"/>
      <c r="T58" s="70"/>
      <c r="U58" s="70"/>
      <c r="V58" s="70"/>
      <c r="W58" s="62"/>
    </row>
    <row r="59" spans="1:26" x14ac:dyDescent="0.2">
      <c r="A59" s="36">
        <v>2011</v>
      </c>
      <c r="B59" s="37">
        <v>2.1399999999999999E-2</v>
      </c>
      <c r="C59" s="38">
        <v>0.6</v>
      </c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65"/>
      <c r="P59" s="71"/>
      <c r="Q59" s="71"/>
      <c r="R59" s="71"/>
      <c r="S59" s="61"/>
      <c r="T59" s="70"/>
      <c r="U59" s="70"/>
      <c r="V59" s="70"/>
      <c r="W59" s="62"/>
    </row>
    <row r="60" spans="1:26" x14ac:dyDescent="0.2">
      <c r="A60" s="36">
        <v>2012</v>
      </c>
      <c r="B60" s="37">
        <v>0.1205</v>
      </c>
      <c r="C60" s="38">
        <v>0.68</v>
      </c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65"/>
      <c r="P60" s="71"/>
      <c r="Q60" s="71"/>
      <c r="R60" s="71"/>
      <c r="S60" s="61"/>
      <c r="T60" s="62"/>
      <c r="U60" s="63"/>
      <c r="V60" s="61"/>
      <c r="W60" s="62"/>
    </row>
    <row r="61" spans="1:26" x14ac:dyDescent="0.2">
      <c r="A61" s="36">
        <v>2013</v>
      </c>
      <c r="B61" s="37">
        <v>0.1084</v>
      </c>
      <c r="C61" s="38">
        <v>0.7</v>
      </c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65"/>
      <c r="P61" s="71"/>
      <c r="Q61" s="71"/>
      <c r="R61" s="71"/>
      <c r="S61" s="61"/>
      <c r="T61" s="62"/>
      <c r="U61" s="63"/>
      <c r="V61" s="61"/>
      <c r="W61" s="62"/>
    </row>
    <row r="62" spans="1:26" x14ac:dyDescent="0.2">
      <c r="A62" s="36">
        <v>2014</v>
      </c>
      <c r="B62" s="37">
        <v>7.3200000000000001E-2</v>
      </c>
      <c r="C62" s="38">
        <v>0.71</v>
      </c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65"/>
      <c r="P62" s="71"/>
      <c r="Q62" s="71"/>
      <c r="R62" s="71"/>
      <c r="S62" s="61"/>
      <c r="T62" s="62"/>
      <c r="U62" s="63"/>
      <c r="V62" s="61"/>
      <c r="W62" s="62"/>
    </row>
    <row r="63" spans="1:26" x14ac:dyDescent="0.2">
      <c r="A63" s="36">
        <v>2015</v>
      </c>
      <c r="B63" s="37">
        <v>0.18729999999999999</v>
      </c>
      <c r="C63" s="38">
        <v>0.83</v>
      </c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65"/>
      <c r="P63" s="71"/>
      <c r="Q63" s="71"/>
      <c r="R63" s="71"/>
      <c r="S63" s="61"/>
      <c r="T63" s="62"/>
      <c r="U63" s="63"/>
      <c r="V63" s="61"/>
      <c r="W63" s="62"/>
    </row>
    <row r="64" spans="1:26" x14ac:dyDescent="0.2">
      <c r="A64" s="36">
        <v>2016</v>
      </c>
      <c r="B64" s="37">
        <v>0.26229999999999998</v>
      </c>
      <c r="C64" s="38">
        <v>0.82</v>
      </c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65"/>
      <c r="P64" s="71"/>
      <c r="Q64" s="71"/>
      <c r="R64" s="71"/>
      <c r="S64" s="61"/>
      <c r="T64" s="62"/>
      <c r="U64" s="63"/>
      <c r="V64" s="61"/>
      <c r="W64" s="62"/>
    </row>
    <row r="65" spans="1:23" x14ac:dyDescent="0.2">
      <c r="A65" s="36">
        <v>2017</v>
      </c>
      <c r="B65" s="37">
        <v>0.20280000000000001</v>
      </c>
      <c r="C65" s="38">
        <v>0.77</v>
      </c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65"/>
      <c r="P65" s="71"/>
      <c r="Q65" s="71"/>
      <c r="R65" s="71"/>
      <c r="S65" s="61"/>
      <c r="T65" s="62"/>
      <c r="U65" s="63"/>
      <c r="V65" s="61"/>
      <c r="W65" s="62"/>
    </row>
    <row r="66" spans="1:23" x14ac:dyDescent="0.2">
      <c r="A66" s="36">
        <v>2018</v>
      </c>
      <c r="B66" s="37">
        <v>0.22600000000000001</v>
      </c>
      <c r="C66" s="38">
        <v>0.8</v>
      </c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65"/>
      <c r="P66" s="71"/>
      <c r="Q66" s="71"/>
      <c r="R66" s="71"/>
      <c r="S66" s="61"/>
      <c r="T66" s="62"/>
      <c r="U66" s="63"/>
      <c r="V66" s="61"/>
      <c r="W66" s="62"/>
    </row>
    <row r="67" spans="1:23" x14ac:dyDescent="0.2">
      <c r="A67" s="36">
        <v>2019</v>
      </c>
      <c r="B67" s="37">
        <v>0.36969999999999997</v>
      </c>
      <c r="C67" s="38">
        <v>0.92</v>
      </c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65"/>
      <c r="P67" s="71"/>
      <c r="Q67" s="71"/>
      <c r="R67" s="71"/>
      <c r="S67" s="61"/>
      <c r="T67" s="62"/>
      <c r="U67" s="63"/>
      <c r="V67" s="61"/>
      <c r="W67" s="62"/>
    </row>
    <row r="68" spans="1:23" x14ac:dyDescent="0.2">
      <c r="A68" s="36">
        <v>2020</v>
      </c>
      <c r="B68" s="37">
        <v>0.36120000000000002</v>
      </c>
      <c r="C68" s="38">
        <v>0.94</v>
      </c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65"/>
      <c r="P68" s="71"/>
      <c r="Q68" s="71"/>
      <c r="R68" s="71"/>
      <c r="S68" s="61"/>
      <c r="T68" s="62"/>
      <c r="U68" s="63"/>
      <c r="V68" s="61"/>
      <c r="W68" s="62"/>
    </row>
    <row r="69" spans="1:23" x14ac:dyDescent="0.2">
      <c r="A69" s="36">
        <v>2021</v>
      </c>
      <c r="B69" s="37">
        <v>0.21360000000000001</v>
      </c>
      <c r="C69" s="38">
        <v>0.84</v>
      </c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65"/>
      <c r="P69" s="71"/>
      <c r="Q69" s="71"/>
      <c r="R69" s="71"/>
      <c r="S69" s="61"/>
      <c r="T69" s="62"/>
      <c r="U69" s="63"/>
      <c r="V69" s="61"/>
      <c r="W69" s="62"/>
    </row>
    <row r="70" spans="1:23" x14ac:dyDescent="0.2">
      <c r="A70" s="36">
        <v>2022</v>
      </c>
      <c r="B70" s="37">
        <v>0.30890000000000001</v>
      </c>
      <c r="C70" s="38">
        <v>0.92</v>
      </c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65"/>
      <c r="P70" s="71"/>
      <c r="Q70" s="71"/>
      <c r="R70" s="71"/>
      <c r="S70" s="61"/>
      <c r="T70" s="62"/>
      <c r="U70" s="63"/>
      <c r="V70" s="61"/>
      <c r="W70" s="62"/>
    </row>
    <row r="71" spans="1:23" x14ac:dyDescent="0.2">
      <c r="A71" s="36">
        <v>2023</v>
      </c>
      <c r="B71" s="37">
        <v>0.53200000000000003</v>
      </c>
      <c r="C71" s="38">
        <v>1.07</v>
      </c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65"/>
      <c r="P71" s="71"/>
      <c r="Q71" s="71"/>
      <c r="R71" s="71"/>
      <c r="S71" s="61"/>
      <c r="T71" s="62"/>
      <c r="U71" s="63"/>
      <c r="V71" s="61"/>
      <c r="W71" s="62"/>
    </row>
    <row r="72" spans="1:23" x14ac:dyDescent="0.2">
      <c r="A72" s="36">
        <v>2024</v>
      </c>
      <c r="B72" s="37">
        <v>0.67530000000000001</v>
      </c>
      <c r="C72" s="38">
        <v>1.18</v>
      </c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65"/>
      <c r="P72" s="71"/>
      <c r="Q72" s="71"/>
      <c r="R72" s="71"/>
      <c r="S72" s="61"/>
      <c r="T72" s="62"/>
      <c r="U72" s="63"/>
      <c r="V72" s="61"/>
      <c r="W72" s="62"/>
    </row>
    <row r="73" spans="1:23" x14ac:dyDescent="0.2">
      <c r="A73" s="36">
        <v>2025</v>
      </c>
      <c r="B73" s="37">
        <v>0.47510000000000002</v>
      </c>
      <c r="C73" s="38">
        <v>0.96</v>
      </c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65"/>
      <c r="P73" s="71"/>
      <c r="Q73" s="71"/>
      <c r="R73" s="71"/>
      <c r="S73" s="61"/>
      <c r="T73" s="62"/>
      <c r="U73" s="63"/>
      <c r="V73" s="61"/>
      <c r="W73" s="62"/>
    </row>
    <row r="74" spans="1:23" x14ac:dyDescent="0.2">
      <c r="P74" s="70"/>
      <c r="Q74" s="70"/>
      <c r="R74" s="70"/>
      <c r="S74" s="61"/>
      <c r="T74" s="62"/>
      <c r="U74" s="63"/>
      <c r="V74" s="61"/>
      <c r="W74" s="62"/>
    </row>
    <row r="75" spans="1:23" x14ac:dyDescent="0.2">
      <c r="P75" s="70"/>
      <c r="Q75" s="70"/>
      <c r="R75" s="70"/>
      <c r="S75" s="61"/>
      <c r="T75" s="62"/>
      <c r="U75" s="63"/>
      <c r="V75" s="61"/>
      <c r="W75" s="62"/>
    </row>
    <row r="76" spans="1:23" x14ac:dyDescent="0.2">
      <c r="P76" s="70"/>
      <c r="Q76" s="70"/>
      <c r="R76" s="70"/>
      <c r="S76" s="61"/>
      <c r="T76" s="62"/>
      <c r="U76" s="63"/>
      <c r="V76" s="61"/>
      <c r="W76" s="62"/>
    </row>
    <row r="77" spans="1:23" x14ac:dyDescent="0.2">
      <c r="P77" s="70"/>
      <c r="Q77" s="70"/>
      <c r="R77" s="70"/>
      <c r="S77" s="61"/>
      <c r="T77" s="62"/>
      <c r="U77" s="63"/>
      <c r="V77" s="61"/>
      <c r="W77" s="62"/>
    </row>
    <row r="78" spans="1:23" x14ac:dyDescent="0.2">
      <c r="P78" s="70"/>
      <c r="Q78" s="70"/>
      <c r="R78" s="70"/>
      <c r="S78" s="61"/>
      <c r="T78" s="62"/>
      <c r="U78" s="63"/>
      <c r="V78" s="61"/>
      <c r="W78" s="62"/>
    </row>
    <row r="79" spans="1:23" x14ac:dyDescent="0.2">
      <c r="P79" s="70"/>
      <c r="Q79" s="70"/>
      <c r="R79" s="70"/>
      <c r="S79" s="61"/>
      <c r="T79" s="62"/>
      <c r="U79" s="63"/>
      <c r="V79" s="61"/>
      <c r="W79" s="62"/>
    </row>
    <row r="80" spans="1:23" x14ac:dyDescent="0.2">
      <c r="P80" s="70"/>
      <c r="Q80" s="70"/>
      <c r="R80" s="70"/>
      <c r="S80" s="61"/>
      <c r="T80" s="62"/>
      <c r="U80" s="63"/>
      <c r="V80" s="61"/>
      <c r="W80" s="62"/>
    </row>
    <row r="81" spans="16:23" x14ac:dyDescent="0.2">
      <c r="P81" s="70"/>
      <c r="Q81" s="70"/>
      <c r="R81" s="70"/>
      <c r="S81" s="61"/>
      <c r="T81" s="62"/>
      <c r="U81" s="63"/>
      <c r="V81" s="61"/>
      <c r="W81" s="62"/>
    </row>
    <row r="82" spans="16:23" x14ac:dyDescent="0.2">
      <c r="P82" s="70"/>
      <c r="Q82" s="70"/>
      <c r="R82" s="70"/>
      <c r="S82" s="61"/>
      <c r="T82" s="62"/>
      <c r="U82" s="63"/>
      <c r="V82" s="61"/>
      <c r="W82" s="62"/>
    </row>
    <row r="83" spans="16:23" x14ac:dyDescent="0.2">
      <c r="P83" s="70"/>
      <c r="Q83" s="70"/>
      <c r="R83" s="70"/>
      <c r="S83" s="61"/>
      <c r="T83" s="62"/>
      <c r="U83" s="63"/>
      <c r="V83" s="61"/>
      <c r="W83" s="62"/>
    </row>
    <row r="84" spans="16:23" x14ac:dyDescent="0.2">
      <c r="P84" s="70"/>
      <c r="Q84" s="70"/>
      <c r="R84" s="70"/>
      <c r="S84" s="61"/>
      <c r="T84" s="62"/>
      <c r="U84" s="63"/>
      <c r="V84" s="61"/>
      <c r="W84" s="62"/>
    </row>
    <row r="85" spans="16:23" x14ac:dyDescent="0.2">
      <c r="P85" s="70"/>
      <c r="Q85" s="70"/>
      <c r="R85" s="70"/>
      <c r="S85" s="61"/>
      <c r="T85" s="62"/>
      <c r="U85" s="63"/>
      <c r="V85" s="61"/>
      <c r="W85" s="62"/>
    </row>
    <row r="86" spans="16:23" x14ac:dyDescent="0.2">
      <c r="P86" s="70"/>
      <c r="Q86" s="70"/>
      <c r="R86" s="70"/>
      <c r="S86" s="61"/>
      <c r="T86" s="62"/>
      <c r="U86" s="63"/>
      <c r="V86" s="61"/>
      <c r="W86" s="62"/>
    </row>
    <row r="97" spans="10:18" x14ac:dyDescent="0.2">
      <c r="J97" s="46"/>
    </row>
    <row r="98" spans="10:18" x14ac:dyDescent="0.2">
      <c r="J98" s="46"/>
    </row>
    <row r="99" spans="10:18" x14ac:dyDescent="0.2">
      <c r="J99" s="46"/>
    </row>
    <row r="100" spans="10:18" x14ac:dyDescent="0.2">
      <c r="J100" s="46"/>
      <c r="K100" s="46"/>
      <c r="L100" s="46"/>
      <c r="M100" s="46"/>
      <c r="N100" s="46"/>
      <c r="O100" s="46"/>
    </row>
    <row r="101" spans="10:18" x14ac:dyDescent="0.2">
      <c r="J101" s="46"/>
      <c r="K101" s="46"/>
      <c r="L101" s="46"/>
      <c r="M101" s="46"/>
      <c r="N101" s="46"/>
      <c r="O101" s="46"/>
    </row>
    <row r="102" spans="10:18" x14ac:dyDescent="0.2">
      <c r="J102" s="46"/>
      <c r="K102" s="46"/>
      <c r="L102" s="46"/>
      <c r="M102" s="46"/>
      <c r="N102" s="46"/>
      <c r="O102" s="46"/>
      <c r="P102" s="46"/>
      <c r="Q102" s="46"/>
      <c r="R102" s="46"/>
    </row>
    <row r="103" spans="10:18" x14ac:dyDescent="0.2">
      <c r="J103" s="46"/>
      <c r="K103" s="46"/>
      <c r="L103" s="46"/>
      <c r="M103" s="46"/>
      <c r="N103" s="46"/>
      <c r="O103" s="46"/>
      <c r="P103" s="46"/>
      <c r="Q103" s="46"/>
      <c r="R103" s="46"/>
    </row>
    <row r="104" spans="10:18" x14ac:dyDescent="0.2">
      <c r="J104" s="46"/>
      <c r="K104" s="46"/>
      <c r="L104" s="46"/>
      <c r="M104" s="46"/>
      <c r="N104" s="46"/>
      <c r="O104" s="46"/>
      <c r="P104" s="46"/>
      <c r="Q104" s="46"/>
      <c r="R104" s="46"/>
    </row>
    <row r="105" spans="10:18" x14ac:dyDescent="0.2">
      <c r="J105" s="46"/>
      <c r="K105" s="46"/>
      <c r="L105" s="46"/>
      <c r="M105" s="46"/>
      <c r="N105" s="46"/>
      <c r="O105" s="46"/>
      <c r="P105" s="46"/>
      <c r="Q105" s="46"/>
      <c r="R105" s="46"/>
    </row>
    <row r="106" spans="10:18" x14ac:dyDescent="0.2">
      <c r="J106" s="46"/>
      <c r="K106" s="46"/>
      <c r="L106" s="46"/>
      <c r="M106" s="46"/>
      <c r="N106" s="46"/>
      <c r="O106" s="46"/>
      <c r="P106" s="46"/>
      <c r="Q106" s="46"/>
      <c r="R106" s="46"/>
    </row>
    <row r="107" spans="10:18" x14ac:dyDescent="0.2">
      <c r="J107" s="46"/>
      <c r="K107" s="46"/>
      <c r="L107" s="46"/>
      <c r="M107" s="46"/>
      <c r="N107" s="46"/>
      <c r="O107" s="46"/>
      <c r="P107" s="46"/>
      <c r="Q107" s="46"/>
      <c r="R107" s="46"/>
    </row>
    <row r="108" spans="10:18" x14ac:dyDescent="0.2">
      <c r="J108" s="46"/>
      <c r="K108" s="46"/>
      <c r="L108" s="46"/>
      <c r="M108" s="46"/>
      <c r="N108" s="46"/>
      <c r="O108" s="46"/>
      <c r="P108" s="46"/>
      <c r="Q108" s="46"/>
      <c r="R108" s="46"/>
    </row>
    <row r="109" spans="10:18" x14ac:dyDescent="0.2">
      <c r="J109" s="46"/>
      <c r="K109" s="46"/>
      <c r="L109" s="46"/>
      <c r="M109" s="46"/>
      <c r="N109" s="46"/>
      <c r="O109" s="46"/>
      <c r="P109" s="46"/>
      <c r="Q109" s="46"/>
      <c r="R109" s="46"/>
    </row>
    <row r="110" spans="10:18" x14ac:dyDescent="0.2">
      <c r="K110" s="46"/>
      <c r="L110" s="46"/>
      <c r="M110" s="46"/>
      <c r="N110" s="46"/>
      <c r="O110" s="46"/>
      <c r="P110" s="46"/>
      <c r="Q110" s="46"/>
      <c r="R110" s="46"/>
    </row>
    <row r="111" spans="10:18" x14ac:dyDescent="0.2">
      <c r="K111" s="46"/>
      <c r="L111" s="46"/>
      <c r="M111" s="46"/>
      <c r="N111" s="46"/>
      <c r="O111" s="46"/>
      <c r="P111" s="46"/>
      <c r="Q111" s="46"/>
      <c r="R111" s="46"/>
    </row>
    <row r="112" spans="10:18" x14ac:dyDescent="0.2">
      <c r="K112" s="46"/>
      <c r="L112" s="46"/>
      <c r="M112" s="46"/>
      <c r="N112" s="46"/>
      <c r="O112" s="46"/>
      <c r="P112" s="46"/>
      <c r="Q112" s="46"/>
      <c r="R112" s="46"/>
    </row>
    <row r="113" spans="16:18" x14ac:dyDescent="0.2">
      <c r="P113" s="46"/>
      <c r="Q113" s="46"/>
      <c r="R113" s="46"/>
    </row>
    <row r="114" spans="16:18" x14ac:dyDescent="0.2">
      <c r="P114" s="46"/>
      <c r="Q114" s="46"/>
      <c r="R114" s="46"/>
    </row>
  </sheetData>
  <mergeCells count="4">
    <mergeCell ref="M2:O2"/>
    <mergeCell ref="A55:O55"/>
    <mergeCell ref="A18:N18"/>
    <mergeCell ref="A1:O1"/>
  </mergeCells>
  <phoneticPr fontId="18" type="noConversion"/>
  <conditionalFormatting sqref="R14">
    <cfRule type="cellIs" dxfId="1" priority="7" operator="greaterThanOrEqual">
      <formula>0.35</formula>
    </cfRule>
    <cfRule type="cellIs" dxfId="0" priority="8" operator="lessThan">
      <formula>0.15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H66"/>
  <sheetViews>
    <sheetView showGridLines="0" zoomScale="57" workbookViewId="0">
      <selection activeCell="E52" sqref="E52"/>
    </sheetView>
  </sheetViews>
  <sheetFormatPr baseColWidth="10" defaultColWidth="8.83203125" defaultRowHeight="15" x14ac:dyDescent="0.2"/>
  <cols>
    <col min="1" max="1" width="25" bestFit="1" customWidth="1"/>
    <col min="2" max="2" width="14.83203125" bestFit="1" customWidth="1"/>
    <col min="3" max="4" width="12" customWidth="1"/>
    <col min="5" max="6" width="15" customWidth="1"/>
    <col min="7" max="7" width="12" customWidth="1"/>
    <col min="8" max="8" width="17" customWidth="1"/>
  </cols>
  <sheetData>
    <row r="5" ht="30" customHeight="1" x14ac:dyDescent="0.2"/>
    <row r="64" spans="1:8" ht="16" x14ac:dyDescent="0.2">
      <c r="A64" s="44"/>
      <c r="E64" s="45"/>
      <c r="G64" s="1"/>
      <c r="H64" s="45"/>
    </row>
    <row r="66" spans="1:1" x14ac:dyDescent="0.2">
      <c r="A66" s="3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B7283-FA13-344F-ABAD-C79A79EE9A55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5394D-28EB-C14D-B561-EC9E7833DEA1}">
  <dimension ref="A1"/>
  <sheetViews>
    <sheetView workbookViewId="0">
      <selection activeCell="H38" sqref="A1:XFD1048576"/>
    </sheetView>
  </sheetViews>
  <sheetFormatPr baseColWidth="10" defaultRowHeight="15" x14ac:dyDescent="0.2"/>
  <cols>
    <col min="1" max="16384" width="10.83203125" style="46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Jun_2026</vt:lpstr>
      <vt:lpstr>Jul_2026</vt:lpstr>
      <vt:lpstr>Aug_2026</vt:lpstr>
      <vt:lpstr>Sep_2026</vt:lpstr>
      <vt:lpstr>Jun_2026!Print_Titles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cardozo</cp:lastModifiedBy>
  <dcterms:created xsi:type="dcterms:W3CDTF">2026-07-25T09:05:19Z</dcterms:created>
  <dcterms:modified xsi:type="dcterms:W3CDTF">2026-08-01T07:18:42Z</dcterms:modified>
</cp:coreProperties>
</file>