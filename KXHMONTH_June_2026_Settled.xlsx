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2026_Settled" sheetId="1" state="visible" r:id="rId1"/>
    <sheet xmlns:r="http://schemas.openxmlformats.org/officeDocument/2006/relationships" name="ENS_members_raw" sheetId="2" state="visible" r:id="rId2"/>
    <sheet xmlns:r="http://schemas.openxmlformats.org/officeDocument/2006/relationships" name="Fcst_log" sheetId="3" state="visible" r:id="rId3"/>
  </sheets>
  <definedNames>
    <definedName name="_xlnm.Print_Titles" localSheetId="0">'Jun2026_Settled'!$49:$49</definedName>
  </definedNames>
  <calcPr calcId="124519" fullCalcOnLoad="1"/>
</workbook>
</file>

<file path=xl/styles.xml><?xml version="1.0" encoding="utf-8"?>
<styleSheet xmlns="http://schemas.openxmlformats.org/spreadsheetml/2006/main">
  <numFmts count="12">
    <numFmt numFmtId="164" formatCode="0.000"/>
    <numFmt numFmtId="165" formatCode="+0.0;-0.0"/>
    <numFmt numFmtId="166" formatCode="0.0000"/>
    <numFmt numFmtId="167" formatCode="yyyy-mm-dd"/>
    <numFmt numFmtId="168" formatCode="dd-mmm"/>
    <numFmt numFmtId="169" formatCode="0.00000"/>
    <numFmt numFmtId="170" formatCode="0.0"/>
    <numFmt numFmtId="171" formatCode="$#,##0.00"/>
    <numFmt numFmtId="172" formatCode="0.0&quot;¢&quot;"/>
    <numFmt numFmtId="173" formatCode="#,##0.0"/>
    <numFmt numFmtId="174" formatCode="0.0%"/>
    <numFmt numFmtId="175" formatCode="+0.000;-0.000"/>
  </numFmts>
  <fonts count="2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006100"/>
      <sz val="9"/>
    </font>
    <font>
      <name val="Arial"/>
      <b val="1"/>
      <color rgb="00595959"/>
      <sz val="9"/>
    </font>
    <font>
      <name val="Arial"/>
      <b val="1"/>
      <color rgb="00C00000"/>
      <sz val="9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1F3864"/>
      <sz val="10"/>
    </font>
    <font>
      <name val="Arial"/>
      <b val="1"/>
      <color rgb="000000FF"/>
      <sz val="10"/>
    </font>
    <font>
      <name val="Arial"/>
      <i val="1"/>
      <color rgb="00595959"/>
      <sz val="10"/>
    </font>
    <font>
      <name val="Arial"/>
      <b val="1"/>
      <color rgb="00FF0000"/>
      <sz val="10"/>
    </font>
    <font>
      <name val="Arial"/>
      <i val="1"/>
      <color rgb="00FF0000"/>
      <sz val="10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11"/>
    </font>
    <font>
      <name val="Arial"/>
      <b val="1"/>
      <color rgb="000000FF"/>
      <sz val="11"/>
    </font>
    <font>
      <name val="Arial"/>
      <b val="1"/>
      <color rgb="00006100"/>
      <sz val="11"/>
    </font>
    <font>
      <name val="Arial"/>
      <i val="1"/>
      <color rgb="000000FF"/>
      <sz val="9"/>
    </font>
    <font>
      <name val="Arial"/>
      <b val="1"/>
      <color rgb="001F3864"/>
      <sz val="11"/>
    </font>
    <font>
      <name val="Arial"/>
      <b val="1"/>
      <color rgb="001F3864"/>
      <sz val="13"/>
    </font>
    <font>
      <name val="Arial"/>
      <i val="1"/>
      <color rgb="00595959"/>
      <sz val="9"/>
    </font>
    <font>
      <name val="Arial"/>
      <i val="1"/>
      <color rgb="00FF0000"/>
      <sz val="9"/>
    </font>
    <font>
      <name val="Arial"/>
      <b val="1"/>
      <color rgb="001F3864"/>
      <sz val="12"/>
    </font>
  </fonts>
  <fills count="9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1" fontId="20" fillId="3" borderId="0" pivotButton="0" quotePrefix="0" xfId="0"/>
    <xf numFmtId="0" fontId="0" fillId="3" borderId="0" pivotButton="0" quotePrefix="0" xfId="0"/>
    <xf numFmtId="166" fontId="20" fillId="3" borderId="0" pivotButton="0" quotePrefix="0" xfId="0"/>
    <xf numFmtId="10" fontId="20" fillId="3" borderId="0" pivotButton="0" quotePrefix="0" xfId="0"/>
    <xf numFmtId="2" fontId="20" fillId="3" borderId="0" pivotButton="0" quotePrefix="0" xfId="0"/>
    <xf numFmtId="0" fontId="20" fillId="3" borderId="0" pivotButton="0" quotePrefix="0" xfId="0"/>
    <xf numFmtId="0" fontId="4" fillId="0" borderId="0" pivotButton="0" quotePrefix="0" xfId="0"/>
    <xf numFmtId="0" fontId="5" fillId="4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0" fillId="5" borderId="0" pivotButton="0" quotePrefix="0" xfId="0"/>
    <xf numFmtId="2" fontId="10" fillId="0" borderId="0" pivotButton="0" quotePrefix="0" xfId="0"/>
    <xf numFmtId="0" fontId="11" fillId="0" borderId="0" pivotButton="0" quotePrefix="0" xfId="0"/>
    <xf numFmtId="164" fontId="10" fillId="0" borderId="0" pivotButton="0" quotePrefix="0" xfId="0"/>
    <xf numFmtId="164" fontId="8" fillId="0" borderId="0" pivotButton="0" quotePrefix="0" xfId="0"/>
    <xf numFmtId="0" fontId="12" fillId="0" borderId="0" pivotButton="0" quotePrefix="0" xfId="0"/>
    <xf numFmtId="166" fontId="6" fillId="0" borderId="0" pivotButton="0" quotePrefix="0" xfId="0"/>
    <xf numFmtId="1" fontId="0" fillId="0" borderId="0" pivotButton="0" quotePrefix="0" xfId="0"/>
    <xf numFmtId="0" fontId="3" fillId="0" borderId="0" pivotButton="0" quotePrefix="0" xfId="0"/>
    <xf numFmtId="1" fontId="8" fillId="0" borderId="0" pivotButton="0" quotePrefix="0" xfId="0"/>
    <xf numFmtId="166" fontId="0" fillId="0" borderId="0" pivotButton="0" quotePrefix="0" xfId="0"/>
    <xf numFmtId="166" fontId="19" fillId="0" borderId="0" pivotButton="0" quotePrefix="0" xfId="0"/>
    <xf numFmtId="165" fontId="8" fillId="6" borderId="0" pivotButton="0" quotePrefix="0" xfId="0"/>
    <xf numFmtId="2" fontId="8" fillId="6" borderId="0" pivotButton="0" quotePrefix="0" xfId="0"/>
    <xf numFmtId="166" fontId="8" fillId="0" borderId="0" pivotButton="0" quotePrefix="0" xfId="0"/>
    <xf numFmtId="2" fontId="8" fillId="7" borderId="0" pivotButton="0" quotePrefix="0" xfId="0"/>
    <xf numFmtId="0" fontId="13" fillId="0" borderId="0" pivotButton="0" quotePrefix="0" xfId="0"/>
    <xf numFmtId="164" fontId="0" fillId="0" borderId="0" pivotButton="0" quotePrefix="0" xfId="0"/>
    <xf numFmtId="0" fontId="14" fillId="4" borderId="1" applyAlignment="1" pivotButton="0" quotePrefix="0" xfId="0">
      <alignment horizontal="center" vertical="center" wrapText="1"/>
    </xf>
    <xf numFmtId="168" fontId="7" fillId="0" borderId="1" pivotButton="0" quotePrefix="0" xfId="0"/>
    <xf numFmtId="164" fontId="8" fillId="6" borderId="1" pivotButton="0" quotePrefix="0" xfId="0"/>
    <xf numFmtId="49" fontId="8" fillId="6" borderId="1" pivotButton="0" quotePrefix="0" xfId="0"/>
    <xf numFmtId="164" fontId="0" fillId="7" borderId="1" pivotButton="0" quotePrefix="0" xfId="0"/>
    <xf numFmtId="164" fontId="0" fillId="0" borderId="1" pivotButton="0" quotePrefix="0" xfId="0"/>
    <xf numFmtId="164" fontId="15" fillId="8" borderId="1" pivotButton="0" quotePrefix="0" xfId="0"/>
    <xf numFmtId="169" fontId="15" fillId="8" borderId="1" pivotButton="0" quotePrefix="0" xfId="0"/>
    <xf numFmtId="1" fontId="6" fillId="0" borderId="0" pivotButton="0" quotePrefix="0" xfId="0"/>
    <xf numFmtId="164" fontId="7" fillId="0" borderId="0" pivotButton="0" quotePrefix="0" xfId="0"/>
    <xf numFmtId="1" fontId="7" fillId="0" borderId="0" pivotButton="0" quotePrefix="0" xfId="0"/>
    <xf numFmtId="164" fontId="6" fillId="0" borderId="0" pivotButton="0" quotePrefix="0" xfId="0"/>
    <xf numFmtId="166" fontId="7" fillId="0" borderId="0" pivotButton="0" quotePrefix="0" xfId="0"/>
    <xf numFmtId="164" fontId="9" fillId="0" borderId="0" pivotButton="0" quotePrefix="0" xfId="0"/>
    <xf numFmtId="10" fontId="7" fillId="0" borderId="0" pivotButton="0" quotePrefix="0" xfId="0"/>
    <xf numFmtId="10" fontId="9" fillId="0" borderId="0" pivotButton="0" quotePrefix="0" xfId="0"/>
    <xf numFmtId="49" fontId="8" fillId="6" borderId="0" pivotButton="0" quotePrefix="0" xfId="0"/>
    <xf numFmtId="170" fontId="8" fillId="6" borderId="0" pivotButton="0" quotePrefix="0" xfId="0"/>
    <xf numFmtId="3" fontId="8" fillId="6" borderId="0" pivotButton="0" quotePrefix="0" xfId="0"/>
    <xf numFmtId="171" fontId="8" fillId="6" borderId="0" pivotButton="0" quotePrefix="0" xfId="0"/>
    <xf numFmtId="172" fontId="7" fillId="0" borderId="0" pivotButton="0" quotePrefix="0" xfId="0"/>
    <xf numFmtId="172" fontId="6" fillId="0" borderId="0" pivotButton="0" quotePrefix="0" xfId="0"/>
    <xf numFmtId="173" fontId="7" fillId="0" borderId="0" pivotButton="0" quotePrefix="0" xfId="0"/>
    <xf numFmtId="174" fontId="7" fillId="0" borderId="0" pivotButton="0" quotePrefix="0" xfId="0"/>
    <xf numFmtId="171" fontId="7" fillId="0" borderId="0" pivotButton="0" quotePrefix="0" xfId="0"/>
    <xf numFmtId="171" fontId="6" fillId="0" borderId="0" pivotButton="0" quotePrefix="0" xfId="0"/>
    <xf numFmtId="49" fontId="6" fillId="0" borderId="0" pivotButton="0" quotePrefix="0" xfId="0"/>
    <xf numFmtId="49" fontId="9" fillId="0" borderId="0" pivotButton="0" quotePrefix="0" xfId="0"/>
    <xf numFmtId="0" fontId="14" fillId="4" borderId="0" pivotButton="0" quotePrefix="0" xfId="0"/>
    <xf numFmtId="2" fontId="0" fillId="0" borderId="0" pivotButton="0" quotePrefix="0" xfId="0"/>
    <xf numFmtId="174" fontId="0" fillId="0" borderId="0" pivotButton="0" quotePrefix="0" xfId="0"/>
    <xf numFmtId="0" fontId="9" fillId="0" borderId="0" pivotButton="0" quotePrefix="0" xfId="0"/>
    <xf numFmtId="166" fontId="16" fillId="0" borderId="0" pivotButton="0" quotePrefix="0" xfId="0"/>
    <xf numFmtId="2" fontId="17" fillId="6" borderId="0" pivotButton="0" quotePrefix="0" xfId="0"/>
    <xf numFmtId="166" fontId="18" fillId="0" borderId="0" pivotButton="0" quotePrefix="0" xfId="0"/>
    <xf numFmtId="2" fontId="7" fillId="0" borderId="0" pivotButton="0" quotePrefix="0" xfId="0"/>
    <xf numFmtId="49" fontId="18" fillId="0" borderId="0" pivotButton="0" quotePrefix="0" xfId="0"/>
    <xf numFmtId="164" fontId="8" fillId="6" borderId="0" pivotButton="0" quotePrefix="0" xfId="0"/>
    <xf numFmtId="3" fontId="7" fillId="0" borderId="0" pivotButton="0" quotePrefix="0" xfId="0"/>
    <xf numFmtId="171" fontId="18" fillId="0" borderId="0" pivotButton="0" quotePrefix="0" xfId="0"/>
    <xf numFmtId="174" fontId="8" fillId="6" borderId="0" pivotButton="0" quotePrefix="0" xfId="0"/>
    <xf numFmtId="0" fontId="14" fillId="4" borderId="1" applyAlignment="1" pivotButton="0" quotePrefix="0" xfId="0">
      <alignment horizontal="center" wrapText="1"/>
    </xf>
    <xf numFmtId="170" fontId="8" fillId="6" borderId="1" pivotButton="0" quotePrefix="0" xfId="0"/>
    <xf numFmtId="3" fontId="8" fillId="6" borderId="1" pivotButton="0" quotePrefix="0" xfId="0"/>
    <xf numFmtId="172" fontId="0" fillId="0" borderId="1" pivotButton="0" quotePrefix="0" xfId="0"/>
    <xf numFmtId="1" fontId="15" fillId="0" borderId="1" pivotButton="0" quotePrefix="0" xfId="0"/>
    <xf numFmtId="166" fontId="15" fillId="0" borderId="1" pivotButton="0" quotePrefix="0" xfId="0"/>
    <xf numFmtId="2" fontId="15" fillId="0" borderId="1" pivotButton="0" quotePrefix="0" xfId="0"/>
    <xf numFmtId="0" fontId="15" fillId="0" borderId="0" applyAlignment="1" pivotButton="0" quotePrefix="0" xfId="0">
      <alignment vertical="center" wrapText="1"/>
    </xf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15" fillId="0" borderId="1" pivotButton="0" quotePrefix="0" xfId="0"/>
    <xf numFmtId="166" fontId="8" fillId="6" borderId="1" pivotButton="0" quotePrefix="0" xfId="0"/>
    <xf numFmtId="166" fontId="0" fillId="0" borderId="1" pivotButton="0" quotePrefix="0" xfId="0"/>
    <xf numFmtId="10" fontId="0" fillId="0" borderId="1" pivotButton="0" quotePrefix="0" xfId="0"/>
    <xf numFmtId="1" fontId="0" fillId="0" borderId="1" pivotButton="0" quotePrefix="0" xfId="0"/>
    <xf numFmtId="0" fontId="20" fillId="0" borderId="0" pivotButton="0" quotePrefix="0" xfId="0"/>
    <xf numFmtId="10" fontId="24" fillId="0" borderId="0" pivotButton="0" quotePrefix="0" xfId="0"/>
    <xf numFmtId="175" fontId="0" fillId="0" borderId="1" pivotButton="0" quotePrefix="0" xfId="0"/>
    <xf numFmtId="0" fontId="0" fillId="0" borderId="1" pivotButton="0" quotePrefix="0" xfId="0"/>
    <xf numFmtId="0" fontId="8" fillId="7" borderId="1" pivotButton="0" quotePrefix="0" xfId="0"/>
    <xf numFmtId="164" fontId="8" fillId="7" borderId="1" pivotButton="0" quotePrefix="0" xfId="0"/>
  </cellXfs>
  <cellStyles count="1">
    <cellStyle name="Normal" xfId="0" builtinId="0" hidden="0"/>
  </cellStyles>
  <dxfs count="4">
    <dxf>
      <font>
        <name val="Arial"/>
        <b val="1"/>
        <color rgb="00006100"/>
      </font>
      <fill>
        <patternFill patternType="solid">
          <fgColor rgb="00C6EFCE"/>
        </patternFill>
      </fill>
    </dxf>
    <dxf>
      <font>
        <name val="Arial"/>
        <b val="1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6" customWidth="1" min="3" max="3"/>
    <col width="13" customWidth="1" min="4" max="4"/>
    <col width="11" customWidth="1" min="5" max="5"/>
    <col width="10" customWidth="1" min="6" max="6"/>
    <col width="10" customWidth="1" min="7" max="7"/>
    <col width="10" customWidth="1" min="8" max="8"/>
    <col width="11" customWidth="1" min="9" max="9"/>
    <col width="9" customWidth="1" min="10" max="10"/>
    <col width="12" customWidth="1" min="11" max="11"/>
    <col width="13" customWidth="1" min="12" max="12"/>
    <col width="11" customWidth="1" min="13" max="13"/>
    <col width="10" customWidth="1" min="14" max="14"/>
    <col width="10" customWidth="1" min="15" max="15"/>
    <col width="11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11" customWidth="1" min="23" max="23"/>
    <col width="11" customWidth="1" min="24" max="24"/>
  </cols>
  <sheetData>
    <row r="1" ht="22" customHeight="1">
      <c r="A1" s="1" t="inlineStr">
        <is>
          <t>KXHMONTH-26JUN  —  “Will June 2026 be the hottest June ever?”  |  SETTLED NO  ·  full post-mortem &amp; model scorecard</t>
        </is>
      </c>
    </row>
    <row r="2">
      <c r="A2" s="2" t="inlineStr">
        <is>
          <t>RESULT: NOAA printed 1.09 for June 2026 · the 1.18 record (June 2024) stood · YES settled worthless, NO paid $1.00</t>
        </is>
      </c>
    </row>
    <row r="3">
      <c r="A3" s="3" t="inlineStr">
        <is>
          <t>Observed days k</t>
        </is>
      </c>
      <c r="C3" s="3" t="inlineStr">
        <is>
          <t>ERA5 June mean</t>
        </is>
      </c>
      <c r="E3" s="3" t="inlineStr">
        <is>
          <t>Model P(YES)</t>
        </is>
      </c>
      <c r="G3" s="3" t="inlineStr">
        <is>
          <t>Predicted NOAA</t>
        </is>
      </c>
      <c r="I3" s="3" t="inlineStr">
        <is>
          <t>ACTUAL NOAA</t>
        </is>
      </c>
      <c r="K3" s="3" t="inlineStr">
        <is>
          <t>Residual</t>
        </is>
      </c>
      <c r="M3" s="3" t="inlineStr">
        <is>
          <t>OUTCOME</t>
        </is>
      </c>
    </row>
    <row r="4">
      <c r="A4" s="4">
        <f>$C$83</f>
        <v/>
      </c>
      <c r="B4" s="5" t="n"/>
      <c r="C4" s="6">
        <f>$C$89</f>
        <v/>
      </c>
      <c r="D4" s="5" t="n"/>
      <c r="E4" s="7">
        <f>$C$100</f>
        <v/>
      </c>
      <c r="F4" s="5" t="n"/>
      <c r="G4" s="6">
        <f>$C$94</f>
        <v/>
      </c>
      <c r="H4" s="5" t="n"/>
      <c r="I4" s="8">
        <f>$C$166</f>
        <v/>
      </c>
      <c r="J4" s="5" t="n"/>
      <c r="K4" s="6">
        <f>$C$167</f>
        <v/>
      </c>
      <c r="L4" s="5" t="n"/>
      <c r="M4" s="9">
        <f>$C$174</f>
        <v/>
      </c>
    </row>
    <row r="5">
      <c r="A5" s="10" t="inlineStr">
        <is>
          <t>This is the SETTLED June market, filled with real data end-to-end: 30 observed ERA5 days, the archived ECMWF run, the live Kalshi price path, and the actual account fills. Same template as the August workbook.</t>
        </is>
      </c>
    </row>
    <row r="6" ht="19" customHeight="1">
      <c r="A6" s="11" t="inlineStr">
        <is>
          <t>BLOCK 1 — SETTLEMENT &amp; TRANSLATION CONSTANTS   (settlement constants hard-coded; translation regressed live from Block 7)</t>
        </is>
      </c>
    </row>
    <row r="7">
      <c r="A7" s="12" t="inlineStr">
        <is>
          <t>Contract (Kalshi ticker)</t>
        </is>
      </c>
      <c r="C7" s="13" t="inlineStr">
        <is>
          <t>KXHMONTH-26JUN</t>
        </is>
      </c>
    </row>
    <row r="8">
      <c r="A8" s="12" t="inlineStr">
        <is>
          <t>Exchange</t>
        </is>
      </c>
      <c r="C8" s="13" t="inlineStr">
        <is>
          <t>Kalshi (CFTC-regulated DCM)</t>
        </is>
      </c>
    </row>
    <row r="9">
      <c r="A9" s="12" t="inlineStr">
        <is>
          <t>Settlement oracle</t>
        </is>
      </c>
      <c r="C9" s="13" t="inlineStr">
        <is>
          <t>NOAA NCEI ‘Climate at a Glance’ — GLOBAL land+ocean monthly anomaly</t>
        </is>
      </c>
    </row>
    <row r="10">
      <c r="A10" s="12" t="inlineStr">
        <is>
          <t>NOAA baseline</t>
        </is>
      </c>
      <c r="C10" s="13" t="inlineStr">
        <is>
          <t>1901–2000  (settlement baseline)</t>
        </is>
      </c>
    </row>
    <row r="11">
      <c r="A11" s="12" t="inlineStr">
        <is>
          <t>ERA5 baseline</t>
        </is>
      </c>
      <c r="C11" s="13" t="inlineStr">
        <is>
          <t>1991–2020  (deterministic offset — absorbed by the OLS, not signal)</t>
        </is>
      </c>
    </row>
    <row r="12">
      <c r="A12" s="12" t="inlineStr">
        <is>
          <t>Quantity</t>
        </is>
      </c>
      <c r="C12" s="13" t="inlineStr">
        <is>
          <t>Global, cos-latitude-weighted 2 m temperature MONTHLY MEAN</t>
        </is>
      </c>
    </row>
    <row r="13">
      <c r="A13" s="12" t="inlineStr">
        <is>
          <t>Days in month (D)</t>
        </is>
      </c>
      <c r="C13" s="14" t="n">
        <v>30</v>
      </c>
    </row>
    <row r="15">
      <c r="A15" s="15" t="inlineStr">
        <is>
          <t>Settlement thresholds</t>
        </is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</row>
    <row r="16">
      <c r="A16" s="13" t="inlineStr">
        <is>
          <t>June record (printed)</t>
        </is>
      </c>
      <c r="C16" s="17" t="n">
        <v>1.18</v>
      </c>
      <c r="E16" s="18" t="inlineStr">
        <is>
          <t>June 2024 (NOAA). This record STOOD.</t>
        </is>
      </c>
    </row>
    <row r="17">
      <c r="A17" s="13" t="inlineStr">
        <is>
          <t>Latent threshold  (YES iff latent ≥)</t>
        </is>
      </c>
      <c r="C17" s="19" t="n">
        <v>1.185</v>
      </c>
      <c r="E17" s="18" t="inlineStr">
        <is>
          <t>Printed had to be ≥1.19. It printed 1.09 — never close.</t>
        </is>
      </c>
    </row>
    <row r="18">
      <c r="A18" s="13" t="inlineStr">
        <is>
          <t>Tie-band low  (latent)</t>
        </is>
      </c>
      <c r="C18" s="20" t="n">
        <v>1.175</v>
      </c>
      <c r="E18" s="18" t="inlineStr">
        <is>
          <t>Latent 1.175–1.185 would print 1.18 → tie → settles NO.</t>
        </is>
      </c>
    </row>
    <row r="19">
      <c r="A19" s="13" t="inlineStr">
        <is>
          <t>Tie clause</t>
        </is>
      </c>
      <c r="C19" s="21" t="inlineStr">
        <is>
          <t>NONE — a printed tie (1.18) settles NO</t>
        </is>
      </c>
    </row>
    <row r="21">
      <c r="A21" s="15" t="inlineStr">
        <is>
          <t>ERA5 → NOAA June translation   (computed live from Block 7)</t>
        </is>
      </c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</row>
    <row r="22">
      <c r="A22" s="13" t="inlineStr">
        <is>
          <t>a  (intercept)</t>
        </is>
      </c>
      <c r="C22" s="22">
        <f>INTERCEPT($C$243:$C$278,$B$243:$B$278)</f>
        <v/>
      </c>
      <c r="E22" s="18" t="inlineStr">
        <is>
          <t>formula: INTERCEPT(NOAA_Jun, ERA5_Jun) over Block 7</t>
        </is>
      </c>
    </row>
    <row r="23">
      <c r="A23" s="13" t="inlineStr">
        <is>
          <t>b  (slope)</t>
        </is>
      </c>
      <c r="C23" s="22">
        <f>SLOPE($C$243:$C$278,$B$243:$B$278)</f>
        <v/>
      </c>
      <c r="E23" s="18" t="inlineStr">
        <is>
          <t>formula: SLOPE(...) — absorbs the deterministic baseline offset</t>
        </is>
      </c>
    </row>
    <row r="24">
      <c r="A24" s="13" t="inlineStr">
        <is>
          <t>σ_translation  (residual)</t>
        </is>
      </c>
      <c r="C24" s="22">
        <f>STEYX($C$243:$C$278,$B$243:$B$278)</f>
        <v/>
      </c>
      <c r="E24" s="18" t="inlineStr">
        <is>
          <t>formula: STEYX(...) — irreducible translation scatter</t>
        </is>
      </c>
    </row>
    <row r="25">
      <c r="A25" s="13" t="inlineStr">
        <is>
          <t>n  (years in fit)</t>
        </is>
      </c>
      <c r="C25" s="23">
        <f>COUNT($B$243:$B$278)</f>
        <v/>
      </c>
    </row>
    <row r="26">
      <c r="A26" s="13" t="inlineStr">
        <is>
          <t>K_threshold on ERA5 scale  = (latent−a)/b</t>
        </is>
      </c>
      <c r="C26" s="22">
        <f>($C$17-$C$22)/$C$23</f>
        <v/>
      </c>
    </row>
    <row r="28">
      <c r="A28" s="15" t="inlineStr">
        <is>
          <t>Variance collapse — σ_NOAA by observed-day count k   (empirical; slower than 1/√(days left) because regimes persist)</t>
        </is>
      </c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</row>
    <row r="29">
      <c r="A29" s="24" t="inlineStr">
        <is>
          <t>k (observed days)</t>
        </is>
      </c>
      <c r="C29" s="24" t="inlineStr">
        <is>
          <t>sd_f  (ERA5 scale)</t>
        </is>
      </c>
      <c r="D29" s="24" t="inlineStr">
        <is>
          <t>ref (offline)</t>
        </is>
      </c>
      <c r="E29" s="24" t="inlineStr">
        <is>
          <t>σ_NOAA</t>
        </is>
      </c>
    </row>
    <row r="30">
      <c r="A30" s="25" t="n">
        <v>2</v>
      </c>
      <c r="C30" s="26">
        <f>IFERROR(INDEX(LINEST($B$243:$B$278,$E$243:$F$278),3,2),$D$30)</f>
        <v/>
      </c>
      <c r="D30" s="27" t="n">
        <v>0.0738</v>
      </c>
      <c r="E30" s="22">
        <f>IFERROR(SQRT(($C$23*$C$30)^2+$C$24^2),"")</f>
        <v/>
      </c>
      <c r="G30" s="18" t="inlineStr">
        <is>
          <t>sd_f = LINEST std-error of  ERA5_Jun ~ ERA5_May + Jun_first-k   ·   σ_NOAA = √((b·sd_f)²+σ_trans²)</t>
        </is>
      </c>
    </row>
    <row r="31">
      <c r="A31" s="25" t="n">
        <v>5</v>
      </c>
      <c r="C31" s="26">
        <f>IFERROR(INDEX(LINEST($B$243:$B$278,$G$243:$H$278),3,2),$D$31)</f>
        <v/>
      </c>
      <c r="D31" s="27" t="n">
        <v>0.0697</v>
      </c>
      <c r="E31" s="22">
        <f>IFERROR(SQRT(($C$23*$C$31)^2+$C$24^2),"")</f>
        <v/>
      </c>
      <c r="G31" s="18" t="inlineStr">
        <is>
          <t>‘ref (offline)’ = same regression computed outside Excel from the same rows; used only if LINEST is unavailable.</t>
        </is>
      </c>
    </row>
    <row r="32">
      <c r="A32" s="25" t="n">
        <v>10</v>
      </c>
      <c r="C32" s="26">
        <f>IFERROR(INDEX(LINEST($B$243:$B$278,$I$243:$J$278),3,2),$D$32)</f>
        <v/>
      </c>
      <c r="D32" s="27" t="n">
        <v>0.0535</v>
      </c>
      <c r="E32" s="22">
        <f>IFERROR(SQRT(($C$23*$C$32)^2+$C$24^2),"")</f>
        <v/>
      </c>
    </row>
    <row r="33">
      <c r="A33" s="25" t="n">
        <v>15</v>
      </c>
      <c r="C33" s="26">
        <f>IFERROR(INDEX(LINEST($B$243:$B$278,$K$243:$L$278),3,2),$D$33)</f>
        <v/>
      </c>
      <c r="D33" s="27" t="n">
        <v>0.0387</v>
      </c>
      <c r="E33" s="22">
        <f>IFERROR(SQRT(($C$23*$C$33)^2+$C$24^2),"")</f>
        <v/>
      </c>
    </row>
    <row r="34">
      <c r="A34" s="25" t="n">
        <v>20</v>
      </c>
      <c r="C34" s="26">
        <f>IFERROR(INDEX(LINEST($B$243:$B$278,$M$243:$N$278),3,2),$D$34)</f>
        <v/>
      </c>
      <c r="D34" s="27" t="n">
        <v>0.0271</v>
      </c>
      <c r="E34" s="22">
        <f>IFERROR(SQRT(($C$23*$C$34)^2+$C$24^2),"")</f>
        <v/>
      </c>
    </row>
    <row r="35">
      <c r="A35" s="25" t="n">
        <v>25</v>
      </c>
      <c r="C35" s="26">
        <f>IFERROR(INDEX(LINEST($B$243:$B$278,$O$243:$P$278),3,2),$D$35)</f>
        <v/>
      </c>
      <c r="D35" s="27" t="n">
        <v>0.0152</v>
      </c>
      <c r="E35" s="22">
        <f>IFERROR(SQRT(($C$23*$C$35)^2+$C$24^2),"")</f>
        <v/>
      </c>
    </row>
    <row r="36">
      <c r="A36" s="25" t="n">
        <v>30</v>
      </c>
      <c r="C36" s="26" t="n">
        <v>0</v>
      </c>
      <c r="D36" s="27" t="n">
        <v>0</v>
      </c>
      <c r="E36" s="22">
        <f>IFERROR(SQRT(($C$23*$C$36)^2+$C$24^2),"")</f>
        <v/>
      </c>
      <c r="G36" s="18" t="inlineStr">
        <is>
          <t>k=30: month fully observed → forecast error 0 by definition</t>
        </is>
      </c>
    </row>
    <row r="38">
      <c r="A38" s="15" t="inlineStr">
        <is>
          <t>External indices &amp; model settings</t>
        </is>
      </c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</row>
    <row r="39">
      <c r="A39" s="13" t="inlineStr">
        <is>
          <t>ONI (CPC, AMJ 2026)</t>
        </is>
      </c>
      <c r="C39" s="28" t="n">
        <v>1</v>
      </c>
      <c r="E39" s="18" t="inlineStr">
        <is>
          <t>El Niño ramping through the June window.</t>
        </is>
      </c>
    </row>
    <row r="40">
      <c r="A40" s="13" t="inlineStr">
        <is>
          <t>GISTEMP June record (printed)</t>
        </is>
      </c>
      <c r="C40" s="29" t="n">
        <v>1.24</v>
      </c>
      <c r="E40" s="18" t="inlineStr">
        <is>
          <t>NASA GISTEMP — Polymarket oracle (different dataset &amp; baseline).</t>
        </is>
      </c>
    </row>
    <row r="41">
      <c r="A41" s="13" t="inlineStr">
        <is>
          <t>GISTEMP latent threshold</t>
        </is>
      </c>
      <c r="C41" s="20" t="n">
        <v>1.235</v>
      </c>
      <c r="E41" s="18" t="inlineStr">
        <is>
          <t>Polymarket brackets: ties count INTO the bracket.</t>
        </is>
      </c>
    </row>
    <row r="42">
      <c r="A42" s="13" t="inlineStr">
        <is>
          <t>GISTEMP a / b / σ</t>
        </is>
      </c>
      <c r="C42" s="30" t="n">
        <v>0.5839</v>
      </c>
      <c r="E42" s="30" t="n">
        <v>0.9482</v>
      </c>
      <c r="G42" s="30" t="n">
        <v>0.0474</v>
      </c>
      <c r="I42" s="18" t="inlineStr">
        <is>
          <t>OLS GISTEMP_Jun ~ ERA5_Jun, n=36.</t>
        </is>
      </c>
    </row>
    <row r="43">
      <c r="A43" s="13" t="inlineStr">
        <is>
          <t>GISTEMP June 2026 actual</t>
        </is>
      </c>
      <c r="C43" s="31" t="n">
        <v>1.18</v>
      </c>
      <c r="E43" s="32" t="inlineStr">
        <is>
          <t>⚠ From project notes (CLAUDE.md), NOT in the local gistemp.txt vintage (ends 05/2026). Verify at NASA before relying on it.</t>
        </is>
      </c>
    </row>
    <row r="44">
      <c r="A44" s="13" t="inlineStr">
        <is>
          <t>ρ  forecast-error correlation mix</t>
        </is>
      </c>
      <c r="C44" s="29" t="n">
        <v>0.6</v>
      </c>
      <c r="E44" s="18" t="inlineStr">
        <is>
          <t>Pipeline convention. Irrelevant here (0 remaining days) but kept for template parity.</t>
        </is>
      </c>
    </row>
    <row r="45">
      <c r="A45" s="13" t="inlineStr">
        <is>
          <t>Climatology reference (5-yr mean ERA5 June)</t>
        </is>
      </c>
      <c r="C45" s="33">
        <f>AVERAGE($B$274:$B$278)</f>
        <v/>
      </c>
      <c r="E45" s="18" t="inlineStr">
        <is>
          <t>Benchmark for forecast skill in Block 5.</t>
        </is>
      </c>
    </row>
    <row r="47" ht="19" customHeight="1">
      <c r="A47" s="11" t="inlineStr">
        <is>
          <t>BLOCK 2 — DAILY TABLE (Jun 1–30) — FILLED with real data</t>
        </is>
      </c>
    </row>
    <row r="48">
      <c r="A48" s="32" t="inlineStr">
        <is>
          <t>Col B = real ERA5 observed daily global-mean anomaly (all 30 days FINAL).  Cols D–G = archived ECMWF IFS run retrieved from Open-Meteo Historical-Forecast API on a 15° cos-weighted grid — see the caveat in Block 5.  GFS/GEFS were never archived for June, so cols H–J are legitimately blank.</t>
        </is>
      </c>
    </row>
    <row r="49" ht="30" customHeight="1">
      <c r="A49" s="34" t="inlineStr">
        <is>
          <t>Date</t>
        </is>
      </c>
      <c r="B49" s="34" t="inlineStr">
        <is>
          <t>ERA5 obs
anomaly °C</t>
        </is>
      </c>
      <c r="C49" s="34" t="inlineStr">
        <is>
          <t>status</t>
        </is>
      </c>
      <c r="D49" s="34" t="inlineStr">
        <is>
          <t>ECMWF arch.
mean °C</t>
        </is>
      </c>
      <c r="E49" s="34" t="inlineStr">
        <is>
          <t>ENS spread
σ °C</t>
        </is>
      </c>
      <c r="F49" s="34" t="inlineStr">
        <is>
          <t>ENS min</t>
        </is>
      </c>
      <c r="G49" s="34" t="inlineStr">
        <is>
          <t>ENS max</t>
        </is>
      </c>
      <c r="H49" s="34" t="inlineStr">
        <is>
          <t>GFS °C</t>
        </is>
      </c>
      <c r="I49" s="34" t="inlineStr">
        <is>
          <t>GEFS mean
°C</t>
        </is>
      </c>
      <c r="J49" s="34" t="inlineStr">
        <is>
          <t>GEFS σ</t>
        </is>
      </c>
      <c r="K49" s="34" t="inlineStr">
        <is>
          <t>USED
(obs→fcst)</t>
        </is>
      </c>
      <c r="L49" s="34" t="inlineStr">
        <is>
          <t>Running MTD
(banked)</t>
        </is>
      </c>
      <c r="M49" s="34" t="inlineStr">
        <is>
          <t>Err ENS
(obs−fcst)</t>
        </is>
      </c>
      <c r="N49" s="34" t="inlineStr">
        <is>
          <t>Err GFS</t>
        </is>
      </c>
      <c r="O49" s="34" t="inlineStr">
        <is>
          <t>Err GEFS</t>
        </is>
      </c>
      <c r="P49" s="34" t="inlineStr">
        <is>
          <t>fcst for
remaining</t>
        </is>
      </c>
      <c r="Q49" s="34" t="inlineStr">
        <is>
          <t>|e|ENS</t>
        </is>
      </c>
      <c r="R49" s="34" t="inlineStr">
        <is>
          <t>e²ENS</t>
        </is>
      </c>
      <c r="S49" s="34" t="inlineStr">
        <is>
          <t>|e|GFS</t>
        </is>
      </c>
      <c r="T49" s="34" t="inlineStr">
        <is>
          <t>e²GFS</t>
        </is>
      </c>
      <c r="U49" s="34" t="inlineStr">
        <is>
          <t>|e|GEFS</t>
        </is>
      </c>
      <c r="V49" s="34" t="inlineStr">
        <is>
          <t>e²GEFS</t>
        </is>
      </c>
      <c r="W49" s="34" t="inlineStr">
        <is>
          <t>(obs−clim)²</t>
        </is>
      </c>
      <c r="X49" s="34" t="inlineStr">
        <is>
          <t>ENS σ
remaining</t>
        </is>
      </c>
    </row>
    <row r="50">
      <c r="A50" s="35" t="n">
        <v>46174</v>
      </c>
      <c r="B50" s="36" t="n">
        <v>0.536</v>
      </c>
      <c r="C50" s="37" t="inlineStr">
        <is>
          <t>FINAL</t>
        </is>
      </c>
      <c r="D50" s="36" t="n">
        <v>0.6625</v>
      </c>
      <c r="E50" s="38" t="n"/>
      <c r="F50" s="38" t="n"/>
      <c r="G50" s="38" t="n"/>
      <c r="H50" s="38" t="n"/>
      <c r="I50" s="38" t="n"/>
      <c r="J50" s="38" t="n"/>
      <c r="K50" s="39">
        <f>IF(ISNUMBER($B50),$B50,IF(ISNUMBER($D50),$D50,""))</f>
        <v/>
      </c>
      <c r="L50" s="39">
        <f>IF(COUNT($B$50:$B50)=0,"",AVERAGE($B$50:$B50))</f>
        <v/>
      </c>
      <c r="M50" s="39">
        <f>IF(AND(ISNUMBER($B50),ISNUMBER($D50)),$B50-$D50,"")</f>
        <v/>
      </c>
      <c r="N50" s="39">
        <f>IF(AND(ISNUMBER($B50),ISNUMBER($H50)),$B50-$H50,"")</f>
        <v/>
      </c>
      <c r="O50" s="39">
        <f>IF(AND(ISNUMBER($B50),ISNUMBER($I50)),$B50-$I50,"")</f>
        <v/>
      </c>
      <c r="P50" s="40">
        <f>IF(AND($B50="",ISNUMBER($D50)),$D50,"")</f>
        <v/>
      </c>
      <c r="Q50" s="40">
        <f>IF(ISNUMBER($M50),ABS($M50),"")</f>
        <v/>
      </c>
      <c r="R50" s="41">
        <f>IF(ISNUMBER($M50),$M50^2,"")</f>
        <v/>
      </c>
      <c r="S50" s="40">
        <f>IF(ISNUMBER($N50),ABS($N50),"")</f>
        <v/>
      </c>
      <c r="T50" s="41">
        <f>IF(ISNUMBER($N50),$N50^2,"")</f>
        <v/>
      </c>
      <c r="U50" s="40">
        <f>IF(ISNUMBER($O50),ABS($O50),"")</f>
        <v/>
      </c>
      <c r="V50" s="41">
        <f>IF(ISNUMBER($O50),$O50^2,"")</f>
        <v/>
      </c>
      <c r="W50" s="41">
        <f>IF(ISNUMBER($B50),($B50-$C$45)^2,"")</f>
        <v/>
      </c>
      <c r="X50" s="40">
        <f>IF(AND($B50="",ISNUMBER($E50)),$E50,"")</f>
        <v/>
      </c>
    </row>
    <row r="51">
      <c r="A51" s="35" t="n">
        <v>46175</v>
      </c>
      <c r="B51" s="36" t="n">
        <v>0.5669999999999999</v>
      </c>
      <c r="C51" s="37" t="inlineStr">
        <is>
          <t>FINAL</t>
        </is>
      </c>
      <c r="D51" s="36" t="n">
        <v>0.7454</v>
      </c>
      <c r="E51" s="38" t="n"/>
      <c r="F51" s="38" t="n"/>
      <c r="G51" s="38" t="n"/>
      <c r="H51" s="38" t="n"/>
      <c r="I51" s="38" t="n"/>
      <c r="J51" s="38" t="n"/>
      <c r="K51" s="39">
        <f>IF(ISNUMBER($B51),$B51,IF(ISNUMBER($D51),$D51,""))</f>
        <v/>
      </c>
      <c r="L51" s="39">
        <f>IF(COUNT($B$50:$B51)=0,"",AVERAGE($B$50:$B51))</f>
        <v/>
      </c>
      <c r="M51" s="39">
        <f>IF(AND(ISNUMBER($B51),ISNUMBER($D51)),$B51-$D51,"")</f>
        <v/>
      </c>
      <c r="N51" s="39">
        <f>IF(AND(ISNUMBER($B51),ISNUMBER($H51)),$B51-$H51,"")</f>
        <v/>
      </c>
      <c r="O51" s="39">
        <f>IF(AND(ISNUMBER($B51),ISNUMBER($I51)),$B51-$I51,"")</f>
        <v/>
      </c>
      <c r="P51" s="40">
        <f>IF(AND($B51="",ISNUMBER($D51)),$D51,"")</f>
        <v/>
      </c>
      <c r="Q51" s="40">
        <f>IF(ISNUMBER($M51),ABS($M51),"")</f>
        <v/>
      </c>
      <c r="R51" s="41">
        <f>IF(ISNUMBER($M51),$M51^2,"")</f>
        <v/>
      </c>
      <c r="S51" s="40">
        <f>IF(ISNUMBER($N51),ABS($N51),"")</f>
        <v/>
      </c>
      <c r="T51" s="41">
        <f>IF(ISNUMBER($N51),$N51^2,"")</f>
        <v/>
      </c>
      <c r="U51" s="40">
        <f>IF(ISNUMBER($O51),ABS($O51),"")</f>
        <v/>
      </c>
      <c r="V51" s="41">
        <f>IF(ISNUMBER($O51),$O51^2,"")</f>
        <v/>
      </c>
      <c r="W51" s="41">
        <f>IF(ISNUMBER($B51),($B51-$C$45)^2,"")</f>
        <v/>
      </c>
      <c r="X51" s="40">
        <f>IF(AND($B51="",ISNUMBER($E51)),$E51,"")</f>
        <v/>
      </c>
    </row>
    <row r="52">
      <c r="A52" s="35" t="n">
        <v>46176</v>
      </c>
      <c r="B52" s="36" t="n">
        <v>0.608</v>
      </c>
      <c r="C52" s="37" t="inlineStr">
        <is>
          <t>FINAL</t>
        </is>
      </c>
      <c r="D52" s="36" t="n">
        <v>0.6870000000000001</v>
      </c>
      <c r="E52" s="38" t="n"/>
      <c r="F52" s="38" t="n"/>
      <c r="G52" s="38" t="n"/>
      <c r="H52" s="38" t="n"/>
      <c r="I52" s="38" t="n"/>
      <c r="J52" s="38" t="n"/>
      <c r="K52" s="39">
        <f>IF(ISNUMBER($B52),$B52,IF(ISNUMBER($D52),$D52,""))</f>
        <v/>
      </c>
      <c r="L52" s="39">
        <f>IF(COUNT($B$50:$B52)=0,"",AVERAGE($B$50:$B52))</f>
        <v/>
      </c>
      <c r="M52" s="39">
        <f>IF(AND(ISNUMBER($B52),ISNUMBER($D52)),$B52-$D52,"")</f>
        <v/>
      </c>
      <c r="N52" s="39">
        <f>IF(AND(ISNUMBER($B52),ISNUMBER($H52)),$B52-$H52,"")</f>
        <v/>
      </c>
      <c r="O52" s="39">
        <f>IF(AND(ISNUMBER($B52),ISNUMBER($I52)),$B52-$I52,"")</f>
        <v/>
      </c>
      <c r="P52" s="40">
        <f>IF(AND($B52="",ISNUMBER($D52)),$D52,"")</f>
        <v/>
      </c>
      <c r="Q52" s="40">
        <f>IF(ISNUMBER($M52),ABS($M52),"")</f>
        <v/>
      </c>
      <c r="R52" s="41">
        <f>IF(ISNUMBER($M52),$M52^2,"")</f>
        <v/>
      </c>
      <c r="S52" s="40">
        <f>IF(ISNUMBER($N52),ABS($N52),"")</f>
        <v/>
      </c>
      <c r="T52" s="41">
        <f>IF(ISNUMBER($N52),$N52^2,"")</f>
        <v/>
      </c>
      <c r="U52" s="40">
        <f>IF(ISNUMBER($O52),ABS($O52),"")</f>
        <v/>
      </c>
      <c r="V52" s="41">
        <f>IF(ISNUMBER($O52),$O52^2,"")</f>
        <v/>
      </c>
      <c r="W52" s="41">
        <f>IF(ISNUMBER($B52),($B52-$C$45)^2,"")</f>
        <v/>
      </c>
      <c r="X52" s="40">
        <f>IF(AND($B52="",ISNUMBER($E52)),$E52,"")</f>
        <v/>
      </c>
    </row>
    <row r="53">
      <c r="A53" s="35" t="n">
        <v>46177</v>
      </c>
      <c r="B53" s="36" t="n">
        <v>0.611</v>
      </c>
      <c r="C53" s="37" t="inlineStr">
        <is>
          <t>FINAL</t>
        </is>
      </c>
      <c r="D53" s="36" t="n">
        <v>0.5874</v>
      </c>
      <c r="E53" s="38" t="n"/>
      <c r="F53" s="38" t="n"/>
      <c r="G53" s="38" t="n"/>
      <c r="H53" s="38" t="n"/>
      <c r="I53" s="38" t="n"/>
      <c r="J53" s="38" t="n"/>
      <c r="K53" s="39">
        <f>IF(ISNUMBER($B53),$B53,IF(ISNUMBER($D53),$D53,""))</f>
        <v/>
      </c>
      <c r="L53" s="39">
        <f>IF(COUNT($B$50:$B53)=0,"",AVERAGE($B$50:$B53))</f>
        <v/>
      </c>
      <c r="M53" s="39">
        <f>IF(AND(ISNUMBER($B53),ISNUMBER($D53)),$B53-$D53,"")</f>
        <v/>
      </c>
      <c r="N53" s="39">
        <f>IF(AND(ISNUMBER($B53),ISNUMBER($H53)),$B53-$H53,"")</f>
        <v/>
      </c>
      <c r="O53" s="39">
        <f>IF(AND(ISNUMBER($B53),ISNUMBER($I53)),$B53-$I53,"")</f>
        <v/>
      </c>
      <c r="P53" s="40">
        <f>IF(AND($B53="",ISNUMBER($D53)),$D53,"")</f>
        <v/>
      </c>
      <c r="Q53" s="40">
        <f>IF(ISNUMBER($M53),ABS($M53),"")</f>
        <v/>
      </c>
      <c r="R53" s="41">
        <f>IF(ISNUMBER($M53),$M53^2,"")</f>
        <v/>
      </c>
      <c r="S53" s="40">
        <f>IF(ISNUMBER($N53),ABS($N53),"")</f>
        <v/>
      </c>
      <c r="T53" s="41">
        <f>IF(ISNUMBER($N53),$N53^2,"")</f>
        <v/>
      </c>
      <c r="U53" s="40">
        <f>IF(ISNUMBER($O53),ABS($O53),"")</f>
        <v/>
      </c>
      <c r="V53" s="41">
        <f>IF(ISNUMBER($O53),$O53^2,"")</f>
        <v/>
      </c>
      <c r="W53" s="41">
        <f>IF(ISNUMBER($B53),($B53-$C$45)^2,"")</f>
        <v/>
      </c>
      <c r="X53" s="40">
        <f>IF(AND($B53="",ISNUMBER($E53)),$E53,"")</f>
        <v/>
      </c>
    </row>
    <row r="54">
      <c r="A54" s="35" t="n">
        <v>46178</v>
      </c>
      <c r="B54" s="36" t="n">
        <v>0.605</v>
      </c>
      <c r="C54" s="37" t="inlineStr">
        <is>
          <t>FINAL</t>
        </is>
      </c>
      <c r="D54" s="36" t="n">
        <v>0.6847</v>
      </c>
      <c r="E54" s="38" t="n"/>
      <c r="F54" s="38" t="n"/>
      <c r="G54" s="38" t="n"/>
      <c r="H54" s="38" t="n"/>
      <c r="I54" s="38" t="n"/>
      <c r="J54" s="38" t="n"/>
      <c r="K54" s="39">
        <f>IF(ISNUMBER($B54),$B54,IF(ISNUMBER($D54),$D54,""))</f>
        <v/>
      </c>
      <c r="L54" s="39">
        <f>IF(COUNT($B$50:$B54)=0,"",AVERAGE($B$50:$B54))</f>
        <v/>
      </c>
      <c r="M54" s="39">
        <f>IF(AND(ISNUMBER($B54),ISNUMBER($D54)),$B54-$D54,"")</f>
        <v/>
      </c>
      <c r="N54" s="39">
        <f>IF(AND(ISNUMBER($B54),ISNUMBER($H54)),$B54-$H54,"")</f>
        <v/>
      </c>
      <c r="O54" s="39">
        <f>IF(AND(ISNUMBER($B54),ISNUMBER($I54)),$B54-$I54,"")</f>
        <v/>
      </c>
      <c r="P54" s="40">
        <f>IF(AND($B54="",ISNUMBER($D54)),$D54,"")</f>
        <v/>
      </c>
      <c r="Q54" s="40">
        <f>IF(ISNUMBER($M54),ABS($M54),"")</f>
        <v/>
      </c>
      <c r="R54" s="41">
        <f>IF(ISNUMBER($M54),$M54^2,"")</f>
        <v/>
      </c>
      <c r="S54" s="40">
        <f>IF(ISNUMBER($N54),ABS($N54),"")</f>
        <v/>
      </c>
      <c r="T54" s="41">
        <f>IF(ISNUMBER($N54),$N54^2,"")</f>
        <v/>
      </c>
      <c r="U54" s="40">
        <f>IF(ISNUMBER($O54),ABS($O54),"")</f>
        <v/>
      </c>
      <c r="V54" s="41">
        <f>IF(ISNUMBER($O54),$O54^2,"")</f>
        <v/>
      </c>
      <c r="W54" s="41">
        <f>IF(ISNUMBER($B54),($B54-$C$45)^2,"")</f>
        <v/>
      </c>
      <c r="X54" s="40">
        <f>IF(AND($B54="",ISNUMBER($E54)),$E54,"")</f>
        <v/>
      </c>
    </row>
    <row r="55">
      <c r="A55" s="35" t="n">
        <v>46179</v>
      </c>
      <c r="B55" s="36" t="n">
        <v>0.651</v>
      </c>
      <c r="C55" s="37" t="inlineStr">
        <is>
          <t>FINAL</t>
        </is>
      </c>
      <c r="D55" s="36" t="n">
        <v>0.7047</v>
      </c>
      <c r="E55" s="38" t="n"/>
      <c r="F55" s="38" t="n"/>
      <c r="G55" s="38" t="n"/>
      <c r="H55" s="38" t="n"/>
      <c r="I55" s="38" t="n"/>
      <c r="J55" s="38" t="n"/>
      <c r="K55" s="39">
        <f>IF(ISNUMBER($B55),$B55,IF(ISNUMBER($D55),$D55,""))</f>
        <v/>
      </c>
      <c r="L55" s="39">
        <f>IF(COUNT($B$50:$B55)=0,"",AVERAGE($B$50:$B55))</f>
        <v/>
      </c>
      <c r="M55" s="39">
        <f>IF(AND(ISNUMBER($B55),ISNUMBER($D55)),$B55-$D55,"")</f>
        <v/>
      </c>
      <c r="N55" s="39">
        <f>IF(AND(ISNUMBER($B55),ISNUMBER($H55)),$B55-$H55,"")</f>
        <v/>
      </c>
      <c r="O55" s="39">
        <f>IF(AND(ISNUMBER($B55),ISNUMBER($I55)),$B55-$I55,"")</f>
        <v/>
      </c>
      <c r="P55" s="40">
        <f>IF(AND($B55="",ISNUMBER($D55)),$D55,"")</f>
        <v/>
      </c>
      <c r="Q55" s="40">
        <f>IF(ISNUMBER($M55),ABS($M55),"")</f>
        <v/>
      </c>
      <c r="R55" s="41">
        <f>IF(ISNUMBER($M55),$M55^2,"")</f>
        <v/>
      </c>
      <c r="S55" s="40">
        <f>IF(ISNUMBER($N55),ABS($N55),"")</f>
        <v/>
      </c>
      <c r="T55" s="41">
        <f>IF(ISNUMBER($N55),$N55^2,"")</f>
        <v/>
      </c>
      <c r="U55" s="40">
        <f>IF(ISNUMBER($O55),ABS($O55),"")</f>
        <v/>
      </c>
      <c r="V55" s="41">
        <f>IF(ISNUMBER($O55),$O55^2,"")</f>
        <v/>
      </c>
      <c r="W55" s="41">
        <f>IF(ISNUMBER($B55),($B55-$C$45)^2,"")</f>
        <v/>
      </c>
      <c r="X55" s="40">
        <f>IF(AND($B55="",ISNUMBER($E55)),$E55,"")</f>
        <v/>
      </c>
    </row>
    <row r="56">
      <c r="A56" s="35" t="n">
        <v>46180</v>
      </c>
      <c r="B56" s="36" t="n">
        <v>0.653</v>
      </c>
      <c r="C56" s="37" t="inlineStr">
        <is>
          <t>FINAL</t>
        </is>
      </c>
      <c r="D56" s="36" t="n">
        <v>0.8007</v>
      </c>
      <c r="E56" s="38" t="n"/>
      <c r="F56" s="38" t="n"/>
      <c r="G56" s="38" t="n"/>
      <c r="H56" s="38" t="n"/>
      <c r="I56" s="38" t="n"/>
      <c r="J56" s="38" t="n"/>
      <c r="K56" s="39">
        <f>IF(ISNUMBER($B56),$B56,IF(ISNUMBER($D56),$D56,""))</f>
        <v/>
      </c>
      <c r="L56" s="39">
        <f>IF(COUNT($B$50:$B56)=0,"",AVERAGE($B$50:$B56))</f>
        <v/>
      </c>
      <c r="M56" s="39">
        <f>IF(AND(ISNUMBER($B56),ISNUMBER($D56)),$B56-$D56,"")</f>
        <v/>
      </c>
      <c r="N56" s="39">
        <f>IF(AND(ISNUMBER($B56),ISNUMBER($H56)),$B56-$H56,"")</f>
        <v/>
      </c>
      <c r="O56" s="39">
        <f>IF(AND(ISNUMBER($B56),ISNUMBER($I56)),$B56-$I56,"")</f>
        <v/>
      </c>
      <c r="P56" s="40">
        <f>IF(AND($B56="",ISNUMBER($D56)),$D56,"")</f>
        <v/>
      </c>
      <c r="Q56" s="40">
        <f>IF(ISNUMBER($M56),ABS($M56),"")</f>
        <v/>
      </c>
      <c r="R56" s="41">
        <f>IF(ISNUMBER($M56),$M56^2,"")</f>
        <v/>
      </c>
      <c r="S56" s="40">
        <f>IF(ISNUMBER($N56),ABS($N56),"")</f>
        <v/>
      </c>
      <c r="T56" s="41">
        <f>IF(ISNUMBER($N56),$N56^2,"")</f>
        <v/>
      </c>
      <c r="U56" s="40">
        <f>IF(ISNUMBER($O56),ABS($O56),"")</f>
        <v/>
      </c>
      <c r="V56" s="41">
        <f>IF(ISNUMBER($O56),$O56^2,"")</f>
        <v/>
      </c>
      <c r="W56" s="41">
        <f>IF(ISNUMBER($B56),($B56-$C$45)^2,"")</f>
        <v/>
      </c>
      <c r="X56" s="40">
        <f>IF(AND($B56="",ISNUMBER($E56)),$E56,"")</f>
        <v/>
      </c>
    </row>
    <row r="57">
      <c r="A57" s="35" t="n">
        <v>46181</v>
      </c>
      <c r="B57" s="36" t="n">
        <v>0.646</v>
      </c>
      <c r="C57" s="37" t="inlineStr">
        <is>
          <t>FINAL</t>
        </is>
      </c>
      <c r="D57" s="36" t="n">
        <v>0.7268</v>
      </c>
      <c r="E57" s="38" t="n"/>
      <c r="F57" s="38" t="n"/>
      <c r="G57" s="38" t="n"/>
      <c r="H57" s="38" t="n"/>
      <c r="I57" s="38" t="n"/>
      <c r="J57" s="38" t="n"/>
      <c r="K57" s="39">
        <f>IF(ISNUMBER($B57),$B57,IF(ISNUMBER($D57),$D57,""))</f>
        <v/>
      </c>
      <c r="L57" s="39">
        <f>IF(COUNT($B$50:$B57)=0,"",AVERAGE($B$50:$B57))</f>
        <v/>
      </c>
      <c r="M57" s="39">
        <f>IF(AND(ISNUMBER($B57),ISNUMBER($D57)),$B57-$D57,"")</f>
        <v/>
      </c>
      <c r="N57" s="39">
        <f>IF(AND(ISNUMBER($B57),ISNUMBER($H57)),$B57-$H57,"")</f>
        <v/>
      </c>
      <c r="O57" s="39">
        <f>IF(AND(ISNUMBER($B57),ISNUMBER($I57)),$B57-$I57,"")</f>
        <v/>
      </c>
      <c r="P57" s="40">
        <f>IF(AND($B57="",ISNUMBER($D57)),$D57,"")</f>
        <v/>
      </c>
      <c r="Q57" s="40">
        <f>IF(ISNUMBER($M57),ABS($M57),"")</f>
        <v/>
      </c>
      <c r="R57" s="41">
        <f>IF(ISNUMBER($M57),$M57^2,"")</f>
        <v/>
      </c>
      <c r="S57" s="40">
        <f>IF(ISNUMBER($N57),ABS($N57),"")</f>
        <v/>
      </c>
      <c r="T57" s="41">
        <f>IF(ISNUMBER($N57),$N57^2,"")</f>
        <v/>
      </c>
      <c r="U57" s="40">
        <f>IF(ISNUMBER($O57),ABS($O57),"")</f>
        <v/>
      </c>
      <c r="V57" s="41">
        <f>IF(ISNUMBER($O57),$O57^2,"")</f>
        <v/>
      </c>
      <c r="W57" s="41">
        <f>IF(ISNUMBER($B57),($B57-$C$45)^2,"")</f>
        <v/>
      </c>
      <c r="X57" s="40">
        <f>IF(AND($B57="",ISNUMBER($E57)),$E57,"")</f>
        <v/>
      </c>
    </row>
    <row r="58">
      <c r="A58" s="35" t="n">
        <v>46182</v>
      </c>
      <c r="B58" s="36" t="n">
        <v>0.607</v>
      </c>
      <c r="C58" s="37" t="inlineStr">
        <is>
          <t>FINAL</t>
        </is>
      </c>
      <c r="D58" s="36" t="n">
        <v>0.6995</v>
      </c>
      <c r="E58" s="38" t="n"/>
      <c r="F58" s="38" t="n"/>
      <c r="G58" s="38" t="n"/>
      <c r="H58" s="38" t="n"/>
      <c r="I58" s="38" t="n"/>
      <c r="J58" s="38" t="n"/>
      <c r="K58" s="39">
        <f>IF(ISNUMBER($B58),$B58,IF(ISNUMBER($D58),$D58,""))</f>
        <v/>
      </c>
      <c r="L58" s="39">
        <f>IF(COUNT($B$50:$B58)=0,"",AVERAGE($B$50:$B58))</f>
        <v/>
      </c>
      <c r="M58" s="39">
        <f>IF(AND(ISNUMBER($B58),ISNUMBER($D58)),$B58-$D58,"")</f>
        <v/>
      </c>
      <c r="N58" s="39">
        <f>IF(AND(ISNUMBER($B58),ISNUMBER($H58)),$B58-$H58,"")</f>
        <v/>
      </c>
      <c r="O58" s="39">
        <f>IF(AND(ISNUMBER($B58),ISNUMBER($I58)),$B58-$I58,"")</f>
        <v/>
      </c>
      <c r="P58" s="40">
        <f>IF(AND($B58="",ISNUMBER($D58)),$D58,"")</f>
        <v/>
      </c>
      <c r="Q58" s="40">
        <f>IF(ISNUMBER($M58),ABS($M58),"")</f>
        <v/>
      </c>
      <c r="R58" s="41">
        <f>IF(ISNUMBER($M58),$M58^2,"")</f>
        <v/>
      </c>
      <c r="S58" s="40">
        <f>IF(ISNUMBER($N58),ABS($N58),"")</f>
        <v/>
      </c>
      <c r="T58" s="41">
        <f>IF(ISNUMBER($N58),$N58^2,"")</f>
        <v/>
      </c>
      <c r="U58" s="40">
        <f>IF(ISNUMBER($O58),ABS($O58),"")</f>
        <v/>
      </c>
      <c r="V58" s="41">
        <f>IF(ISNUMBER($O58),$O58^2,"")</f>
        <v/>
      </c>
      <c r="W58" s="41">
        <f>IF(ISNUMBER($B58),($B58-$C$45)^2,"")</f>
        <v/>
      </c>
      <c r="X58" s="40">
        <f>IF(AND($B58="",ISNUMBER($E58)),$E58,"")</f>
        <v/>
      </c>
    </row>
    <row r="59">
      <c r="A59" s="35" t="n">
        <v>46183</v>
      </c>
      <c r="B59" s="36" t="n">
        <v>0.596</v>
      </c>
      <c r="C59" s="37" t="inlineStr">
        <is>
          <t>FINAL</t>
        </is>
      </c>
      <c r="D59" s="36" t="n">
        <v>0.8535</v>
      </c>
      <c r="E59" s="38" t="n"/>
      <c r="F59" s="38" t="n"/>
      <c r="G59" s="38" t="n"/>
      <c r="H59" s="38" t="n"/>
      <c r="I59" s="38" t="n"/>
      <c r="J59" s="38" t="n"/>
      <c r="K59" s="39">
        <f>IF(ISNUMBER($B59),$B59,IF(ISNUMBER($D59),$D59,""))</f>
        <v/>
      </c>
      <c r="L59" s="39">
        <f>IF(COUNT($B$50:$B59)=0,"",AVERAGE($B$50:$B59))</f>
        <v/>
      </c>
      <c r="M59" s="39">
        <f>IF(AND(ISNUMBER($B59),ISNUMBER($D59)),$B59-$D59,"")</f>
        <v/>
      </c>
      <c r="N59" s="39">
        <f>IF(AND(ISNUMBER($B59),ISNUMBER($H59)),$B59-$H59,"")</f>
        <v/>
      </c>
      <c r="O59" s="39">
        <f>IF(AND(ISNUMBER($B59),ISNUMBER($I59)),$B59-$I59,"")</f>
        <v/>
      </c>
      <c r="P59" s="40">
        <f>IF(AND($B59="",ISNUMBER($D59)),$D59,"")</f>
        <v/>
      </c>
      <c r="Q59" s="40">
        <f>IF(ISNUMBER($M59),ABS($M59),"")</f>
        <v/>
      </c>
      <c r="R59" s="41">
        <f>IF(ISNUMBER($M59),$M59^2,"")</f>
        <v/>
      </c>
      <c r="S59" s="40">
        <f>IF(ISNUMBER($N59),ABS($N59),"")</f>
        <v/>
      </c>
      <c r="T59" s="41">
        <f>IF(ISNUMBER($N59),$N59^2,"")</f>
        <v/>
      </c>
      <c r="U59" s="40">
        <f>IF(ISNUMBER($O59),ABS($O59),"")</f>
        <v/>
      </c>
      <c r="V59" s="41">
        <f>IF(ISNUMBER($O59),$O59^2,"")</f>
        <v/>
      </c>
      <c r="W59" s="41">
        <f>IF(ISNUMBER($B59),($B59-$C$45)^2,"")</f>
        <v/>
      </c>
      <c r="X59" s="40">
        <f>IF(AND($B59="",ISNUMBER($E59)),$E59,"")</f>
        <v/>
      </c>
    </row>
    <row r="60">
      <c r="A60" s="35" t="n">
        <v>46184</v>
      </c>
      <c r="B60" s="36" t="n">
        <v>0.622</v>
      </c>
      <c r="C60" s="37" t="inlineStr">
        <is>
          <t>FINAL</t>
        </is>
      </c>
      <c r="D60" s="36" t="n">
        <v>0.7588</v>
      </c>
      <c r="E60" s="38" t="n"/>
      <c r="F60" s="38" t="n"/>
      <c r="G60" s="38" t="n"/>
      <c r="H60" s="38" t="n"/>
      <c r="I60" s="38" t="n"/>
      <c r="J60" s="38" t="n"/>
      <c r="K60" s="39">
        <f>IF(ISNUMBER($B60),$B60,IF(ISNUMBER($D60),$D60,""))</f>
        <v/>
      </c>
      <c r="L60" s="39">
        <f>IF(COUNT($B$50:$B60)=0,"",AVERAGE($B$50:$B60))</f>
        <v/>
      </c>
      <c r="M60" s="39">
        <f>IF(AND(ISNUMBER($B60),ISNUMBER($D60)),$B60-$D60,"")</f>
        <v/>
      </c>
      <c r="N60" s="39">
        <f>IF(AND(ISNUMBER($B60),ISNUMBER($H60)),$B60-$H60,"")</f>
        <v/>
      </c>
      <c r="O60" s="39">
        <f>IF(AND(ISNUMBER($B60),ISNUMBER($I60)),$B60-$I60,"")</f>
        <v/>
      </c>
      <c r="P60" s="40">
        <f>IF(AND($B60="",ISNUMBER($D60)),$D60,"")</f>
        <v/>
      </c>
      <c r="Q60" s="40">
        <f>IF(ISNUMBER($M60),ABS($M60),"")</f>
        <v/>
      </c>
      <c r="R60" s="41">
        <f>IF(ISNUMBER($M60),$M60^2,"")</f>
        <v/>
      </c>
      <c r="S60" s="40">
        <f>IF(ISNUMBER($N60),ABS($N60),"")</f>
        <v/>
      </c>
      <c r="T60" s="41">
        <f>IF(ISNUMBER($N60),$N60^2,"")</f>
        <v/>
      </c>
      <c r="U60" s="40">
        <f>IF(ISNUMBER($O60),ABS($O60),"")</f>
        <v/>
      </c>
      <c r="V60" s="41">
        <f>IF(ISNUMBER($O60),$O60^2,"")</f>
        <v/>
      </c>
      <c r="W60" s="41">
        <f>IF(ISNUMBER($B60),($B60-$C$45)^2,"")</f>
        <v/>
      </c>
      <c r="X60" s="40">
        <f>IF(AND($B60="",ISNUMBER($E60)),$E60,"")</f>
        <v/>
      </c>
    </row>
    <row r="61">
      <c r="A61" s="35" t="n">
        <v>46185</v>
      </c>
      <c r="B61" s="36" t="n">
        <v>0.6</v>
      </c>
      <c r="C61" s="37" t="inlineStr">
        <is>
          <t>FINAL</t>
        </is>
      </c>
      <c r="D61" s="36" t="n">
        <v>0.7158</v>
      </c>
      <c r="E61" s="38" t="n"/>
      <c r="F61" s="38" t="n"/>
      <c r="G61" s="38" t="n"/>
      <c r="H61" s="38" t="n"/>
      <c r="I61" s="38" t="n"/>
      <c r="J61" s="38" t="n"/>
      <c r="K61" s="39">
        <f>IF(ISNUMBER($B61),$B61,IF(ISNUMBER($D61),$D61,""))</f>
        <v/>
      </c>
      <c r="L61" s="39">
        <f>IF(COUNT($B$50:$B61)=0,"",AVERAGE($B$50:$B61))</f>
        <v/>
      </c>
      <c r="M61" s="39">
        <f>IF(AND(ISNUMBER($B61),ISNUMBER($D61)),$B61-$D61,"")</f>
        <v/>
      </c>
      <c r="N61" s="39">
        <f>IF(AND(ISNUMBER($B61),ISNUMBER($H61)),$B61-$H61,"")</f>
        <v/>
      </c>
      <c r="O61" s="39">
        <f>IF(AND(ISNUMBER($B61),ISNUMBER($I61)),$B61-$I61,"")</f>
        <v/>
      </c>
      <c r="P61" s="40">
        <f>IF(AND($B61="",ISNUMBER($D61)),$D61,"")</f>
        <v/>
      </c>
      <c r="Q61" s="40">
        <f>IF(ISNUMBER($M61),ABS($M61),"")</f>
        <v/>
      </c>
      <c r="R61" s="41">
        <f>IF(ISNUMBER($M61),$M61^2,"")</f>
        <v/>
      </c>
      <c r="S61" s="40">
        <f>IF(ISNUMBER($N61),ABS($N61),"")</f>
        <v/>
      </c>
      <c r="T61" s="41">
        <f>IF(ISNUMBER($N61),$N61^2,"")</f>
        <v/>
      </c>
      <c r="U61" s="40">
        <f>IF(ISNUMBER($O61),ABS($O61),"")</f>
        <v/>
      </c>
      <c r="V61" s="41">
        <f>IF(ISNUMBER($O61),$O61^2,"")</f>
        <v/>
      </c>
      <c r="W61" s="41">
        <f>IF(ISNUMBER($B61),($B61-$C$45)^2,"")</f>
        <v/>
      </c>
      <c r="X61" s="40">
        <f>IF(AND($B61="",ISNUMBER($E61)),$E61,"")</f>
        <v/>
      </c>
    </row>
    <row r="62">
      <c r="A62" s="35" t="n">
        <v>46186</v>
      </c>
      <c r="B62" s="36" t="n">
        <v>0.535</v>
      </c>
      <c r="C62" s="37" t="inlineStr">
        <is>
          <t>FINAL</t>
        </is>
      </c>
      <c r="D62" s="36" t="n">
        <v>0.5397</v>
      </c>
      <c r="E62" s="38" t="n"/>
      <c r="F62" s="38" t="n"/>
      <c r="G62" s="38" t="n"/>
      <c r="H62" s="38" t="n"/>
      <c r="I62" s="38" t="n"/>
      <c r="J62" s="38" t="n"/>
      <c r="K62" s="39">
        <f>IF(ISNUMBER($B62),$B62,IF(ISNUMBER($D62),$D62,""))</f>
        <v/>
      </c>
      <c r="L62" s="39">
        <f>IF(COUNT($B$50:$B62)=0,"",AVERAGE($B$50:$B62))</f>
        <v/>
      </c>
      <c r="M62" s="39">
        <f>IF(AND(ISNUMBER($B62),ISNUMBER($D62)),$B62-$D62,"")</f>
        <v/>
      </c>
      <c r="N62" s="39">
        <f>IF(AND(ISNUMBER($B62),ISNUMBER($H62)),$B62-$H62,"")</f>
        <v/>
      </c>
      <c r="O62" s="39">
        <f>IF(AND(ISNUMBER($B62),ISNUMBER($I62)),$B62-$I62,"")</f>
        <v/>
      </c>
      <c r="P62" s="40">
        <f>IF(AND($B62="",ISNUMBER($D62)),$D62,"")</f>
        <v/>
      </c>
      <c r="Q62" s="40">
        <f>IF(ISNUMBER($M62),ABS($M62),"")</f>
        <v/>
      </c>
      <c r="R62" s="41">
        <f>IF(ISNUMBER($M62),$M62^2,"")</f>
        <v/>
      </c>
      <c r="S62" s="40">
        <f>IF(ISNUMBER($N62),ABS($N62),"")</f>
        <v/>
      </c>
      <c r="T62" s="41">
        <f>IF(ISNUMBER($N62),$N62^2,"")</f>
        <v/>
      </c>
      <c r="U62" s="40">
        <f>IF(ISNUMBER($O62),ABS($O62),"")</f>
        <v/>
      </c>
      <c r="V62" s="41">
        <f>IF(ISNUMBER($O62),$O62^2,"")</f>
        <v/>
      </c>
      <c r="W62" s="41">
        <f>IF(ISNUMBER($B62),($B62-$C$45)^2,"")</f>
        <v/>
      </c>
      <c r="X62" s="40">
        <f>IF(AND($B62="",ISNUMBER($E62)),$E62,"")</f>
        <v/>
      </c>
    </row>
    <row r="63">
      <c r="A63" s="35" t="n">
        <v>46187</v>
      </c>
      <c r="B63" s="36" t="n">
        <v>0.456</v>
      </c>
      <c r="C63" s="37" t="inlineStr">
        <is>
          <t>FINAL</t>
        </is>
      </c>
      <c r="D63" s="36" t="n">
        <v>0.411</v>
      </c>
      <c r="E63" s="38" t="n"/>
      <c r="F63" s="38" t="n"/>
      <c r="G63" s="38" t="n"/>
      <c r="H63" s="38" t="n"/>
      <c r="I63" s="38" t="n"/>
      <c r="J63" s="38" t="n"/>
      <c r="K63" s="39">
        <f>IF(ISNUMBER($B63),$B63,IF(ISNUMBER($D63),$D63,""))</f>
        <v/>
      </c>
      <c r="L63" s="39">
        <f>IF(COUNT($B$50:$B63)=0,"",AVERAGE($B$50:$B63))</f>
        <v/>
      </c>
      <c r="M63" s="39">
        <f>IF(AND(ISNUMBER($B63),ISNUMBER($D63)),$B63-$D63,"")</f>
        <v/>
      </c>
      <c r="N63" s="39">
        <f>IF(AND(ISNUMBER($B63),ISNUMBER($H63)),$B63-$H63,"")</f>
        <v/>
      </c>
      <c r="O63" s="39">
        <f>IF(AND(ISNUMBER($B63),ISNUMBER($I63)),$B63-$I63,"")</f>
        <v/>
      </c>
      <c r="P63" s="40">
        <f>IF(AND($B63="",ISNUMBER($D63)),$D63,"")</f>
        <v/>
      </c>
      <c r="Q63" s="40">
        <f>IF(ISNUMBER($M63),ABS($M63),"")</f>
        <v/>
      </c>
      <c r="R63" s="41">
        <f>IF(ISNUMBER($M63),$M63^2,"")</f>
        <v/>
      </c>
      <c r="S63" s="40">
        <f>IF(ISNUMBER($N63),ABS($N63),"")</f>
        <v/>
      </c>
      <c r="T63" s="41">
        <f>IF(ISNUMBER($N63),$N63^2,"")</f>
        <v/>
      </c>
      <c r="U63" s="40">
        <f>IF(ISNUMBER($O63),ABS($O63),"")</f>
        <v/>
      </c>
      <c r="V63" s="41">
        <f>IF(ISNUMBER($O63),$O63^2,"")</f>
        <v/>
      </c>
      <c r="W63" s="41">
        <f>IF(ISNUMBER($B63),($B63-$C$45)^2,"")</f>
        <v/>
      </c>
      <c r="X63" s="40">
        <f>IF(AND($B63="",ISNUMBER($E63)),$E63,"")</f>
        <v/>
      </c>
    </row>
    <row r="64">
      <c r="A64" s="35" t="n">
        <v>46188</v>
      </c>
      <c r="B64" s="36" t="n">
        <v>0.461</v>
      </c>
      <c r="C64" s="37" t="inlineStr">
        <is>
          <t>FINAL</t>
        </is>
      </c>
      <c r="D64" s="36" t="n">
        <v>0.492</v>
      </c>
      <c r="E64" s="38" t="n"/>
      <c r="F64" s="38" t="n"/>
      <c r="G64" s="38" t="n"/>
      <c r="H64" s="38" t="n"/>
      <c r="I64" s="38" t="n"/>
      <c r="J64" s="38" t="n"/>
      <c r="K64" s="39">
        <f>IF(ISNUMBER($B64),$B64,IF(ISNUMBER($D64),$D64,""))</f>
        <v/>
      </c>
      <c r="L64" s="39">
        <f>IF(COUNT($B$50:$B64)=0,"",AVERAGE($B$50:$B64))</f>
        <v/>
      </c>
      <c r="M64" s="39">
        <f>IF(AND(ISNUMBER($B64),ISNUMBER($D64)),$B64-$D64,"")</f>
        <v/>
      </c>
      <c r="N64" s="39">
        <f>IF(AND(ISNUMBER($B64),ISNUMBER($H64)),$B64-$H64,"")</f>
        <v/>
      </c>
      <c r="O64" s="39">
        <f>IF(AND(ISNUMBER($B64),ISNUMBER($I64)),$B64-$I64,"")</f>
        <v/>
      </c>
      <c r="P64" s="40">
        <f>IF(AND($B64="",ISNUMBER($D64)),$D64,"")</f>
        <v/>
      </c>
      <c r="Q64" s="40">
        <f>IF(ISNUMBER($M64),ABS($M64),"")</f>
        <v/>
      </c>
      <c r="R64" s="41">
        <f>IF(ISNUMBER($M64),$M64^2,"")</f>
        <v/>
      </c>
      <c r="S64" s="40">
        <f>IF(ISNUMBER($N64),ABS($N64),"")</f>
        <v/>
      </c>
      <c r="T64" s="41">
        <f>IF(ISNUMBER($N64),$N64^2,"")</f>
        <v/>
      </c>
      <c r="U64" s="40">
        <f>IF(ISNUMBER($O64),ABS($O64),"")</f>
        <v/>
      </c>
      <c r="V64" s="41">
        <f>IF(ISNUMBER($O64),$O64^2,"")</f>
        <v/>
      </c>
      <c r="W64" s="41">
        <f>IF(ISNUMBER($B64),($B64-$C$45)^2,"")</f>
        <v/>
      </c>
      <c r="X64" s="40">
        <f>IF(AND($B64="",ISNUMBER($E64)),$E64,"")</f>
        <v/>
      </c>
    </row>
    <row r="65">
      <c r="A65" s="35" t="n">
        <v>46189</v>
      </c>
      <c r="B65" s="36" t="n">
        <v>0.493</v>
      </c>
      <c r="C65" s="37" t="inlineStr">
        <is>
          <t>FINAL</t>
        </is>
      </c>
      <c r="D65" s="36" t="n">
        <v>0.487</v>
      </c>
      <c r="E65" s="38" t="n"/>
      <c r="F65" s="38" t="n"/>
      <c r="G65" s="38" t="n"/>
      <c r="H65" s="38" t="n"/>
      <c r="I65" s="38" t="n"/>
      <c r="J65" s="38" t="n"/>
      <c r="K65" s="39">
        <f>IF(ISNUMBER($B65),$B65,IF(ISNUMBER($D65),$D65,""))</f>
        <v/>
      </c>
      <c r="L65" s="39">
        <f>IF(COUNT($B$50:$B65)=0,"",AVERAGE($B$50:$B65))</f>
        <v/>
      </c>
      <c r="M65" s="39">
        <f>IF(AND(ISNUMBER($B65),ISNUMBER($D65)),$B65-$D65,"")</f>
        <v/>
      </c>
      <c r="N65" s="39">
        <f>IF(AND(ISNUMBER($B65),ISNUMBER($H65)),$B65-$H65,"")</f>
        <v/>
      </c>
      <c r="O65" s="39">
        <f>IF(AND(ISNUMBER($B65),ISNUMBER($I65)),$B65-$I65,"")</f>
        <v/>
      </c>
      <c r="P65" s="40">
        <f>IF(AND($B65="",ISNUMBER($D65)),$D65,"")</f>
        <v/>
      </c>
      <c r="Q65" s="40">
        <f>IF(ISNUMBER($M65),ABS($M65),"")</f>
        <v/>
      </c>
      <c r="R65" s="41">
        <f>IF(ISNUMBER($M65),$M65^2,"")</f>
        <v/>
      </c>
      <c r="S65" s="40">
        <f>IF(ISNUMBER($N65),ABS($N65),"")</f>
        <v/>
      </c>
      <c r="T65" s="41">
        <f>IF(ISNUMBER($N65),$N65^2,"")</f>
        <v/>
      </c>
      <c r="U65" s="40">
        <f>IF(ISNUMBER($O65),ABS($O65),"")</f>
        <v/>
      </c>
      <c r="V65" s="41">
        <f>IF(ISNUMBER($O65),$O65^2,"")</f>
        <v/>
      </c>
      <c r="W65" s="41">
        <f>IF(ISNUMBER($B65),($B65-$C$45)^2,"")</f>
        <v/>
      </c>
      <c r="X65" s="40">
        <f>IF(AND($B65="",ISNUMBER($E65)),$E65,"")</f>
        <v/>
      </c>
    </row>
    <row r="66">
      <c r="A66" s="35" t="n">
        <v>46190</v>
      </c>
      <c r="B66" s="36" t="n">
        <v>0.5</v>
      </c>
      <c r="C66" s="37" t="inlineStr">
        <is>
          <t>FINAL</t>
        </is>
      </c>
      <c r="D66" s="36" t="n">
        <v>0.5967</v>
      </c>
      <c r="E66" s="38" t="n"/>
      <c r="F66" s="38" t="n"/>
      <c r="G66" s="38" t="n"/>
      <c r="H66" s="38" t="n"/>
      <c r="I66" s="38" t="n"/>
      <c r="J66" s="38" t="n"/>
      <c r="K66" s="39">
        <f>IF(ISNUMBER($B66),$B66,IF(ISNUMBER($D66),$D66,""))</f>
        <v/>
      </c>
      <c r="L66" s="39">
        <f>IF(COUNT($B$50:$B66)=0,"",AVERAGE($B$50:$B66))</f>
        <v/>
      </c>
      <c r="M66" s="39">
        <f>IF(AND(ISNUMBER($B66),ISNUMBER($D66)),$B66-$D66,"")</f>
        <v/>
      </c>
      <c r="N66" s="39">
        <f>IF(AND(ISNUMBER($B66),ISNUMBER($H66)),$B66-$H66,"")</f>
        <v/>
      </c>
      <c r="O66" s="39">
        <f>IF(AND(ISNUMBER($B66),ISNUMBER($I66)),$B66-$I66,"")</f>
        <v/>
      </c>
      <c r="P66" s="40">
        <f>IF(AND($B66="",ISNUMBER($D66)),$D66,"")</f>
        <v/>
      </c>
      <c r="Q66" s="40">
        <f>IF(ISNUMBER($M66),ABS($M66),"")</f>
        <v/>
      </c>
      <c r="R66" s="41">
        <f>IF(ISNUMBER($M66),$M66^2,"")</f>
        <v/>
      </c>
      <c r="S66" s="40">
        <f>IF(ISNUMBER($N66),ABS($N66),"")</f>
        <v/>
      </c>
      <c r="T66" s="41">
        <f>IF(ISNUMBER($N66),$N66^2,"")</f>
        <v/>
      </c>
      <c r="U66" s="40">
        <f>IF(ISNUMBER($O66),ABS($O66),"")</f>
        <v/>
      </c>
      <c r="V66" s="41">
        <f>IF(ISNUMBER($O66),$O66^2,"")</f>
        <v/>
      </c>
      <c r="W66" s="41">
        <f>IF(ISNUMBER($B66),($B66-$C$45)^2,"")</f>
        <v/>
      </c>
      <c r="X66" s="40">
        <f>IF(AND($B66="",ISNUMBER($E66)),$E66,"")</f>
        <v/>
      </c>
    </row>
    <row r="67">
      <c r="A67" s="35" t="n">
        <v>46191</v>
      </c>
      <c r="B67" s="36" t="n">
        <v>0.501</v>
      </c>
      <c r="C67" s="37" t="inlineStr">
        <is>
          <t>FINAL</t>
        </is>
      </c>
      <c r="D67" s="36" t="n">
        <v>0.5273</v>
      </c>
      <c r="E67" s="38" t="n"/>
      <c r="F67" s="38" t="n"/>
      <c r="G67" s="38" t="n"/>
      <c r="H67" s="38" t="n"/>
      <c r="I67" s="38" t="n"/>
      <c r="J67" s="38" t="n"/>
      <c r="K67" s="39">
        <f>IF(ISNUMBER($B67),$B67,IF(ISNUMBER($D67),$D67,""))</f>
        <v/>
      </c>
      <c r="L67" s="39">
        <f>IF(COUNT($B$50:$B67)=0,"",AVERAGE($B$50:$B67))</f>
        <v/>
      </c>
      <c r="M67" s="39">
        <f>IF(AND(ISNUMBER($B67),ISNUMBER($D67)),$B67-$D67,"")</f>
        <v/>
      </c>
      <c r="N67" s="39">
        <f>IF(AND(ISNUMBER($B67),ISNUMBER($H67)),$B67-$H67,"")</f>
        <v/>
      </c>
      <c r="O67" s="39">
        <f>IF(AND(ISNUMBER($B67),ISNUMBER($I67)),$B67-$I67,"")</f>
        <v/>
      </c>
      <c r="P67" s="40">
        <f>IF(AND($B67="",ISNUMBER($D67)),$D67,"")</f>
        <v/>
      </c>
      <c r="Q67" s="40">
        <f>IF(ISNUMBER($M67),ABS($M67),"")</f>
        <v/>
      </c>
      <c r="R67" s="41">
        <f>IF(ISNUMBER($M67),$M67^2,"")</f>
        <v/>
      </c>
      <c r="S67" s="40">
        <f>IF(ISNUMBER($N67),ABS($N67),"")</f>
        <v/>
      </c>
      <c r="T67" s="41">
        <f>IF(ISNUMBER($N67),$N67^2,"")</f>
        <v/>
      </c>
      <c r="U67" s="40">
        <f>IF(ISNUMBER($O67),ABS($O67),"")</f>
        <v/>
      </c>
      <c r="V67" s="41">
        <f>IF(ISNUMBER($O67),$O67^2,"")</f>
        <v/>
      </c>
      <c r="W67" s="41">
        <f>IF(ISNUMBER($B67),($B67-$C$45)^2,"")</f>
        <v/>
      </c>
      <c r="X67" s="40">
        <f>IF(AND($B67="",ISNUMBER($E67)),$E67,"")</f>
        <v/>
      </c>
    </row>
    <row r="68">
      <c r="A68" s="35" t="n">
        <v>46192</v>
      </c>
      <c r="B68" s="36" t="n">
        <v>0.464</v>
      </c>
      <c r="C68" s="37" t="inlineStr">
        <is>
          <t>FINAL</t>
        </is>
      </c>
      <c r="D68" s="36" t="n">
        <v>0.4219</v>
      </c>
      <c r="E68" s="38" t="n"/>
      <c r="F68" s="38" t="n"/>
      <c r="G68" s="38" t="n"/>
      <c r="H68" s="38" t="n"/>
      <c r="I68" s="38" t="n"/>
      <c r="J68" s="38" t="n"/>
      <c r="K68" s="39">
        <f>IF(ISNUMBER($B68),$B68,IF(ISNUMBER($D68),$D68,""))</f>
        <v/>
      </c>
      <c r="L68" s="39">
        <f>IF(COUNT($B$50:$B68)=0,"",AVERAGE($B$50:$B68))</f>
        <v/>
      </c>
      <c r="M68" s="39">
        <f>IF(AND(ISNUMBER($B68),ISNUMBER($D68)),$B68-$D68,"")</f>
        <v/>
      </c>
      <c r="N68" s="39">
        <f>IF(AND(ISNUMBER($B68),ISNUMBER($H68)),$B68-$H68,"")</f>
        <v/>
      </c>
      <c r="O68" s="39">
        <f>IF(AND(ISNUMBER($B68),ISNUMBER($I68)),$B68-$I68,"")</f>
        <v/>
      </c>
      <c r="P68" s="40">
        <f>IF(AND($B68="",ISNUMBER($D68)),$D68,"")</f>
        <v/>
      </c>
      <c r="Q68" s="40">
        <f>IF(ISNUMBER($M68),ABS($M68),"")</f>
        <v/>
      </c>
      <c r="R68" s="41">
        <f>IF(ISNUMBER($M68),$M68^2,"")</f>
        <v/>
      </c>
      <c r="S68" s="40">
        <f>IF(ISNUMBER($N68),ABS($N68),"")</f>
        <v/>
      </c>
      <c r="T68" s="41">
        <f>IF(ISNUMBER($N68),$N68^2,"")</f>
        <v/>
      </c>
      <c r="U68" s="40">
        <f>IF(ISNUMBER($O68),ABS($O68),"")</f>
        <v/>
      </c>
      <c r="V68" s="41">
        <f>IF(ISNUMBER($O68),$O68^2,"")</f>
        <v/>
      </c>
      <c r="W68" s="41">
        <f>IF(ISNUMBER($B68),($B68-$C$45)^2,"")</f>
        <v/>
      </c>
      <c r="X68" s="40">
        <f>IF(AND($B68="",ISNUMBER($E68)),$E68,"")</f>
        <v/>
      </c>
    </row>
    <row r="69">
      <c r="A69" s="35" t="n">
        <v>46193</v>
      </c>
      <c r="B69" s="36" t="n">
        <v>0.472</v>
      </c>
      <c r="C69" s="37" t="inlineStr">
        <is>
          <t>FINAL</t>
        </is>
      </c>
      <c r="D69" s="36" t="n">
        <v>0.3915</v>
      </c>
      <c r="E69" s="38" t="n"/>
      <c r="F69" s="38" t="n"/>
      <c r="G69" s="38" t="n"/>
      <c r="H69" s="38" t="n"/>
      <c r="I69" s="38" t="n"/>
      <c r="J69" s="38" t="n"/>
      <c r="K69" s="39">
        <f>IF(ISNUMBER($B69),$B69,IF(ISNUMBER($D69),$D69,""))</f>
        <v/>
      </c>
      <c r="L69" s="39">
        <f>IF(COUNT($B$50:$B69)=0,"",AVERAGE($B$50:$B69))</f>
        <v/>
      </c>
      <c r="M69" s="39">
        <f>IF(AND(ISNUMBER($B69),ISNUMBER($D69)),$B69-$D69,"")</f>
        <v/>
      </c>
      <c r="N69" s="39">
        <f>IF(AND(ISNUMBER($B69),ISNUMBER($H69)),$B69-$H69,"")</f>
        <v/>
      </c>
      <c r="O69" s="39">
        <f>IF(AND(ISNUMBER($B69),ISNUMBER($I69)),$B69-$I69,"")</f>
        <v/>
      </c>
      <c r="P69" s="40">
        <f>IF(AND($B69="",ISNUMBER($D69)),$D69,"")</f>
        <v/>
      </c>
      <c r="Q69" s="40">
        <f>IF(ISNUMBER($M69),ABS($M69),"")</f>
        <v/>
      </c>
      <c r="R69" s="41">
        <f>IF(ISNUMBER($M69),$M69^2,"")</f>
        <v/>
      </c>
      <c r="S69" s="40">
        <f>IF(ISNUMBER($N69),ABS($N69),"")</f>
        <v/>
      </c>
      <c r="T69" s="41">
        <f>IF(ISNUMBER($N69),$N69^2,"")</f>
        <v/>
      </c>
      <c r="U69" s="40">
        <f>IF(ISNUMBER($O69),ABS($O69),"")</f>
        <v/>
      </c>
      <c r="V69" s="41">
        <f>IF(ISNUMBER($O69),$O69^2,"")</f>
        <v/>
      </c>
      <c r="W69" s="41">
        <f>IF(ISNUMBER($B69),($B69-$C$45)^2,"")</f>
        <v/>
      </c>
      <c r="X69" s="40">
        <f>IF(AND($B69="",ISNUMBER($E69)),$E69,"")</f>
        <v/>
      </c>
    </row>
    <row r="70">
      <c r="A70" s="35" t="n">
        <v>46194</v>
      </c>
      <c r="B70" s="36" t="n">
        <v>0.529</v>
      </c>
      <c r="C70" s="37" t="inlineStr">
        <is>
          <t>FINAL</t>
        </is>
      </c>
      <c r="D70" s="36" t="n">
        <v>0.5466</v>
      </c>
      <c r="E70" s="38" t="n"/>
      <c r="F70" s="38" t="n"/>
      <c r="G70" s="38" t="n"/>
      <c r="H70" s="38" t="n"/>
      <c r="I70" s="38" t="n"/>
      <c r="J70" s="38" t="n"/>
      <c r="K70" s="39">
        <f>IF(ISNUMBER($B70),$B70,IF(ISNUMBER($D70),$D70,""))</f>
        <v/>
      </c>
      <c r="L70" s="39">
        <f>IF(COUNT($B$50:$B70)=0,"",AVERAGE($B$50:$B70))</f>
        <v/>
      </c>
      <c r="M70" s="39">
        <f>IF(AND(ISNUMBER($B70),ISNUMBER($D70)),$B70-$D70,"")</f>
        <v/>
      </c>
      <c r="N70" s="39">
        <f>IF(AND(ISNUMBER($B70),ISNUMBER($H70)),$B70-$H70,"")</f>
        <v/>
      </c>
      <c r="O70" s="39">
        <f>IF(AND(ISNUMBER($B70),ISNUMBER($I70)),$B70-$I70,"")</f>
        <v/>
      </c>
      <c r="P70" s="40">
        <f>IF(AND($B70="",ISNUMBER($D70)),$D70,"")</f>
        <v/>
      </c>
      <c r="Q70" s="40">
        <f>IF(ISNUMBER($M70),ABS($M70),"")</f>
        <v/>
      </c>
      <c r="R70" s="41">
        <f>IF(ISNUMBER($M70),$M70^2,"")</f>
        <v/>
      </c>
      <c r="S70" s="40">
        <f>IF(ISNUMBER($N70),ABS($N70),"")</f>
        <v/>
      </c>
      <c r="T70" s="41">
        <f>IF(ISNUMBER($N70),$N70^2,"")</f>
        <v/>
      </c>
      <c r="U70" s="40">
        <f>IF(ISNUMBER($O70),ABS($O70),"")</f>
        <v/>
      </c>
      <c r="V70" s="41">
        <f>IF(ISNUMBER($O70),$O70^2,"")</f>
        <v/>
      </c>
      <c r="W70" s="41">
        <f>IF(ISNUMBER($B70),($B70-$C$45)^2,"")</f>
        <v/>
      </c>
      <c r="X70" s="40">
        <f>IF(AND($B70="",ISNUMBER($E70)),$E70,"")</f>
        <v/>
      </c>
    </row>
    <row r="71">
      <c r="A71" s="35" t="n">
        <v>46195</v>
      </c>
      <c r="B71" s="36" t="n">
        <v>0.547</v>
      </c>
      <c r="C71" s="37" t="inlineStr">
        <is>
          <t>FINAL</t>
        </is>
      </c>
      <c r="D71" s="36" t="n">
        <v>0.595</v>
      </c>
      <c r="E71" s="38" t="n"/>
      <c r="F71" s="38" t="n"/>
      <c r="G71" s="38" t="n"/>
      <c r="H71" s="38" t="n"/>
      <c r="I71" s="38" t="n"/>
      <c r="J71" s="38" t="n"/>
      <c r="K71" s="39">
        <f>IF(ISNUMBER($B71),$B71,IF(ISNUMBER($D71),$D71,""))</f>
        <v/>
      </c>
      <c r="L71" s="39">
        <f>IF(COUNT($B$50:$B71)=0,"",AVERAGE($B$50:$B71))</f>
        <v/>
      </c>
      <c r="M71" s="39">
        <f>IF(AND(ISNUMBER($B71),ISNUMBER($D71)),$B71-$D71,"")</f>
        <v/>
      </c>
      <c r="N71" s="39">
        <f>IF(AND(ISNUMBER($B71),ISNUMBER($H71)),$B71-$H71,"")</f>
        <v/>
      </c>
      <c r="O71" s="39">
        <f>IF(AND(ISNUMBER($B71),ISNUMBER($I71)),$B71-$I71,"")</f>
        <v/>
      </c>
      <c r="P71" s="40">
        <f>IF(AND($B71="",ISNUMBER($D71)),$D71,"")</f>
        <v/>
      </c>
      <c r="Q71" s="40">
        <f>IF(ISNUMBER($M71),ABS($M71),"")</f>
        <v/>
      </c>
      <c r="R71" s="41">
        <f>IF(ISNUMBER($M71),$M71^2,"")</f>
        <v/>
      </c>
      <c r="S71" s="40">
        <f>IF(ISNUMBER($N71),ABS($N71),"")</f>
        <v/>
      </c>
      <c r="T71" s="41">
        <f>IF(ISNUMBER($N71),$N71^2,"")</f>
        <v/>
      </c>
      <c r="U71" s="40">
        <f>IF(ISNUMBER($O71),ABS($O71),"")</f>
        <v/>
      </c>
      <c r="V71" s="41">
        <f>IF(ISNUMBER($O71),$O71^2,"")</f>
        <v/>
      </c>
      <c r="W71" s="41">
        <f>IF(ISNUMBER($B71),($B71-$C$45)^2,"")</f>
        <v/>
      </c>
      <c r="X71" s="40">
        <f>IF(AND($B71="",ISNUMBER($E71)),$E71,"")</f>
        <v/>
      </c>
    </row>
    <row r="72">
      <c r="A72" s="35" t="n">
        <v>46196</v>
      </c>
      <c r="B72" s="36" t="n">
        <v>0.479</v>
      </c>
      <c r="C72" s="37" t="inlineStr">
        <is>
          <t>FINAL</t>
        </is>
      </c>
      <c r="D72" s="36" t="n">
        <v>0.5014</v>
      </c>
      <c r="E72" s="38" t="n"/>
      <c r="F72" s="38" t="n"/>
      <c r="G72" s="38" t="n"/>
      <c r="H72" s="38" t="n"/>
      <c r="I72" s="38" t="n"/>
      <c r="J72" s="38" t="n"/>
      <c r="K72" s="39">
        <f>IF(ISNUMBER($B72),$B72,IF(ISNUMBER($D72),$D72,""))</f>
        <v/>
      </c>
      <c r="L72" s="39">
        <f>IF(COUNT($B$50:$B72)=0,"",AVERAGE($B$50:$B72))</f>
        <v/>
      </c>
      <c r="M72" s="39">
        <f>IF(AND(ISNUMBER($B72),ISNUMBER($D72)),$B72-$D72,"")</f>
        <v/>
      </c>
      <c r="N72" s="39">
        <f>IF(AND(ISNUMBER($B72),ISNUMBER($H72)),$B72-$H72,"")</f>
        <v/>
      </c>
      <c r="O72" s="39">
        <f>IF(AND(ISNUMBER($B72),ISNUMBER($I72)),$B72-$I72,"")</f>
        <v/>
      </c>
      <c r="P72" s="40">
        <f>IF(AND($B72="",ISNUMBER($D72)),$D72,"")</f>
        <v/>
      </c>
      <c r="Q72" s="40">
        <f>IF(ISNUMBER($M72),ABS($M72),"")</f>
        <v/>
      </c>
      <c r="R72" s="41">
        <f>IF(ISNUMBER($M72),$M72^2,"")</f>
        <v/>
      </c>
      <c r="S72" s="40">
        <f>IF(ISNUMBER($N72),ABS($N72),"")</f>
        <v/>
      </c>
      <c r="T72" s="41">
        <f>IF(ISNUMBER($N72),$N72^2,"")</f>
        <v/>
      </c>
      <c r="U72" s="40">
        <f>IF(ISNUMBER($O72),ABS($O72),"")</f>
        <v/>
      </c>
      <c r="V72" s="41">
        <f>IF(ISNUMBER($O72),$O72^2,"")</f>
        <v/>
      </c>
      <c r="W72" s="41">
        <f>IF(ISNUMBER($B72),($B72-$C$45)^2,"")</f>
        <v/>
      </c>
      <c r="X72" s="40">
        <f>IF(AND($B72="",ISNUMBER($E72)),$E72,"")</f>
        <v/>
      </c>
    </row>
    <row r="73">
      <c r="A73" s="35" t="n">
        <v>46197</v>
      </c>
      <c r="B73" s="36" t="n">
        <v>0.442</v>
      </c>
      <c r="C73" s="37" t="inlineStr">
        <is>
          <t>FINAL</t>
        </is>
      </c>
      <c r="D73" s="36" t="n">
        <v>0.497</v>
      </c>
      <c r="E73" s="38" t="n"/>
      <c r="F73" s="38" t="n"/>
      <c r="G73" s="38" t="n"/>
      <c r="H73" s="38" t="n"/>
      <c r="I73" s="38" t="n"/>
      <c r="J73" s="38" t="n"/>
      <c r="K73" s="39">
        <f>IF(ISNUMBER($B73),$B73,IF(ISNUMBER($D73),$D73,""))</f>
        <v/>
      </c>
      <c r="L73" s="39">
        <f>IF(COUNT($B$50:$B73)=0,"",AVERAGE($B$50:$B73))</f>
        <v/>
      </c>
      <c r="M73" s="39">
        <f>IF(AND(ISNUMBER($B73),ISNUMBER($D73)),$B73-$D73,"")</f>
        <v/>
      </c>
      <c r="N73" s="39">
        <f>IF(AND(ISNUMBER($B73),ISNUMBER($H73)),$B73-$H73,"")</f>
        <v/>
      </c>
      <c r="O73" s="39">
        <f>IF(AND(ISNUMBER($B73),ISNUMBER($I73)),$B73-$I73,"")</f>
        <v/>
      </c>
      <c r="P73" s="40">
        <f>IF(AND($B73="",ISNUMBER($D73)),$D73,"")</f>
        <v/>
      </c>
      <c r="Q73" s="40">
        <f>IF(ISNUMBER($M73),ABS($M73),"")</f>
        <v/>
      </c>
      <c r="R73" s="41">
        <f>IF(ISNUMBER($M73),$M73^2,"")</f>
        <v/>
      </c>
      <c r="S73" s="40">
        <f>IF(ISNUMBER($N73),ABS($N73),"")</f>
        <v/>
      </c>
      <c r="T73" s="41">
        <f>IF(ISNUMBER($N73),$N73^2,"")</f>
        <v/>
      </c>
      <c r="U73" s="40">
        <f>IF(ISNUMBER($O73),ABS($O73),"")</f>
        <v/>
      </c>
      <c r="V73" s="41">
        <f>IF(ISNUMBER($O73),$O73^2,"")</f>
        <v/>
      </c>
      <c r="W73" s="41">
        <f>IF(ISNUMBER($B73),($B73-$C$45)^2,"")</f>
        <v/>
      </c>
      <c r="X73" s="40">
        <f>IF(AND($B73="",ISNUMBER($E73)),$E73,"")</f>
        <v/>
      </c>
    </row>
    <row r="74">
      <c r="A74" s="35" t="n">
        <v>46198</v>
      </c>
      <c r="B74" s="36" t="n">
        <v>0.488</v>
      </c>
      <c r="C74" s="37" t="inlineStr">
        <is>
          <t>FINAL</t>
        </is>
      </c>
      <c r="D74" s="36" t="n">
        <v>0.5415</v>
      </c>
      <c r="E74" s="38" t="n"/>
      <c r="F74" s="38" t="n"/>
      <c r="G74" s="38" t="n"/>
      <c r="H74" s="38" t="n"/>
      <c r="I74" s="38" t="n"/>
      <c r="J74" s="38" t="n"/>
      <c r="K74" s="39">
        <f>IF(ISNUMBER($B74),$B74,IF(ISNUMBER($D74),$D74,""))</f>
        <v/>
      </c>
      <c r="L74" s="39">
        <f>IF(COUNT($B$50:$B74)=0,"",AVERAGE($B$50:$B74))</f>
        <v/>
      </c>
      <c r="M74" s="39">
        <f>IF(AND(ISNUMBER($B74),ISNUMBER($D74)),$B74-$D74,"")</f>
        <v/>
      </c>
      <c r="N74" s="39">
        <f>IF(AND(ISNUMBER($B74),ISNUMBER($H74)),$B74-$H74,"")</f>
        <v/>
      </c>
      <c r="O74" s="39">
        <f>IF(AND(ISNUMBER($B74),ISNUMBER($I74)),$B74-$I74,"")</f>
        <v/>
      </c>
      <c r="P74" s="40">
        <f>IF(AND($B74="",ISNUMBER($D74)),$D74,"")</f>
        <v/>
      </c>
      <c r="Q74" s="40">
        <f>IF(ISNUMBER($M74),ABS($M74),"")</f>
        <v/>
      </c>
      <c r="R74" s="41">
        <f>IF(ISNUMBER($M74),$M74^2,"")</f>
        <v/>
      </c>
      <c r="S74" s="40">
        <f>IF(ISNUMBER($N74),ABS($N74),"")</f>
        <v/>
      </c>
      <c r="T74" s="41">
        <f>IF(ISNUMBER($N74),$N74^2,"")</f>
        <v/>
      </c>
      <c r="U74" s="40">
        <f>IF(ISNUMBER($O74),ABS($O74),"")</f>
        <v/>
      </c>
      <c r="V74" s="41">
        <f>IF(ISNUMBER($O74),$O74^2,"")</f>
        <v/>
      </c>
      <c r="W74" s="41">
        <f>IF(ISNUMBER($B74),($B74-$C$45)^2,"")</f>
        <v/>
      </c>
      <c r="X74" s="40">
        <f>IF(AND($B74="",ISNUMBER($E74)),$E74,"")</f>
        <v/>
      </c>
    </row>
    <row r="75">
      <c r="A75" s="35" t="n">
        <v>46199</v>
      </c>
      <c r="B75" s="36" t="n">
        <v>0.573</v>
      </c>
      <c r="C75" s="37" t="inlineStr">
        <is>
          <t>FINAL</t>
        </is>
      </c>
      <c r="D75" s="36" t="n">
        <v>0.5577</v>
      </c>
      <c r="E75" s="38" t="n"/>
      <c r="F75" s="38" t="n"/>
      <c r="G75" s="38" t="n"/>
      <c r="H75" s="38" t="n"/>
      <c r="I75" s="38" t="n"/>
      <c r="J75" s="38" t="n"/>
      <c r="K75" s="39">
        <f>IF(ISNUMBER($B75),$B75,IF(ISNUMBER($D75),$D75,""))</f>
        <v/>
      </c>
      <c r="L75" s="39">
        <f>IF(COUNT($B$50:$B75)=0,"",AVERAGE($B$50:$B75))</f>
        <v/>
      </c>
      <c r="M75" s="39">
        <f>IF(AND(ISNUMBER($B75),ISNUMBER($D75)),$B75-$D75,"")</f>
        <v/>
      </c>
      <c r="N75" s="39">
        <f>IF(AND(ISNUMBER($B75),ISNUMBER($H75)),$B75-$H75,"")</f>
        <v/>
      </c>
      <c r="O75" s="39">
        <f>IF(AND(ISNUMBER($B75),ISNUMBER($I75)),$B75-$I75,"")</f>
        <v/>
      </c>
      <c r="P75" s="40">
        <f>IF(AND($B75="",ISNUMBER($D75)),$D75,"")</f>
        <v/>
      </c>
      <c r="Q75" s="40">
        <f>IF(ISNUMBER($M75),ABS($M75),"")</f>
        <v/>
      </c>
      <c r="R75" s="41">
        <f>IF(ISNUMBER($M75),$M75^2,"")</f>
        <v/>
      </c>
      <c r="S75" s="40">
        <f>IF(ISNUMBER($N75),ABS($N75),"")</f>
        <v/>
      </c>
      <c r="T75" s="41">
        <f>IF(ISNUMBER($N75),$N75^2,"")</f>
        <v/>
      </c>
      <c r="U75" s="40">
        <f>IF(ISNUMBER($O75),ABS($O75),"")</f>
        <v/>
      </c>
      <c r="V75" s="41">
        <f>IF(ISNUMBER($O75),$O75^2,"")</f>
        <v/>
      </c>
      <c r="W75" s="41">
        <f>IF(ISNUMBER($B75),($B75-$C$45)^2,"")</f>
        <v/>
      </c>
      <c r="X75" s="40">
        <f>IF(AND($B75="",ISNUMBER($E75)),$E75,"")</f>
        <v/>
      </c>
    </row>
    <row r="76">
      <c r="A76" s="35" t="n">
        <v>46200</v>
      </c>
      <c r="B76" s="36" t="n">
        <v>0.609</v>
      </c>
      <c r="C76" s="37" t="inlineStr">
        <is>
          <t>FINAL</t>
        </is>
      </c>
      <c r="D76" s="36" t="n">
        <v>0.732</v>
      </c>
      <c r="E76" s="38" t="n"/>
      <c r="F76" s="38" t="n"/>
      <c r="G76" s="38" t="n"/>
      <c r="H76" s="38" t="n"/>
      <c r="I76" s="38" t="n"/>
      <c r="J76" s="38" t="n"/>
      <c r="K76" s="39">
        <f>IF(ISNUMBER($B76),$B76,IF(ISNUMBER($D76),$D76,""))</f>
        <v/>
      </c>
      <c r="L76" s="39">
        <f>IF(COUNT($B$50:$B76)=0,"",AVERAGE($B$50:$B76))</f>
        <v/>
      </c>
      <c r="M76" s="39">
        <f>IF(AND(ISNUMBER($B76),ISNUMBER($D76)),$B76-$D76,"")</f>
        <v/>
      </c>
      <c r="N76" s="39">
        <f>IF(AND(ISNUMBER($B76),ISNUMBER($H76)),$B76-$H76,"")</f>
        <v/>
      </c>
      <c r="O76" s="39">
        <f>IF(AND(ISNUMBER($B76),ISNUMBER($I76)),$B76-$I76,"")</f>
        <v/>
      </c>
      <c r="P76" s="40">
        <f>IF(AND($B76="",ISNUMBER($D76)),$D76,"")</f>
        <v/>
      </c>
      <c r="Q76" s="40">
        <f>IF(ISNUMBER($M76),ABS($M76),"")</f>
        <v/>
      </c>
      <c r="R76" s="41">
        <f>IF(ISNUMBER($M76),$M76^2,"")</f>
        <v/>
      </c>
      <c r="S76" s="40">
        <f>IF(ISNUMBER($N76),ABS($N76),"")</f>
        <v/>
      </c>
      <c r="T76" s="41">
        <f>IF(ISNUMBER($N76),$N76^2,"")</f>
        <v/>
      </c>
      <c r="U76" s="40">
        <f>IF(ISNUMBER($O76),ABS($O76),"")</f>
        <v/>
      </c>
      <c r="V76" s="41">
        <f>IF(ISNUMBER($O76),$O76^2,"")</f>
        <v/>
      </c>
      <c r="W76" s="41">
        <f>IF(ISNUMBER($B76),($B76-$C$45)^2,"")</f>
        <v/>
      </c>
      <c r="X76" s="40">
        <f>IF(AND($B76="",ISNUMBER($E76)),$E76,"")</f>
        <v/>
      </c>
    </row>
    <row r="77">
      <c r="A77" s="35" t="n">
        <v>46201</v>
      </c>
      <c r="B77" s="36" t="n">
        <v>0.653</v>
      </c>
      <c r="C77" s="37" t="inlineStr">
        <is>
          <t>FINAL</t>
        </is>
      </c>
      <c r="D77" s="36" t="n">
        <v>0.88</v>
      </c>
      <c r="E77" s="38" t="n"/>
      <c r="F77" s="38" t="n"/>
      <c r="G77" s="38" t="n"/>
      <c r="H77" s="38" t="n"/>
      <c r="I77" s="38" t="n"/>
      <c r="J77" s="38" t="n"/>
      <c r="K77" s="39">
        <f>IF(ISNUMBER($B77),$B77,IF(ISNUMBER($D77),$D77,""))</f>
        <v/>
      </c>
      <c r="L77" s="39">
        <f>IF(COUNT($B$50:$B77)=0,"",AVERAGE($B$50:$B77))</f>
        <v/>
      </c>
      <c r="M77" s="39">
        <f>IF(AND(ISNUMBER($B77),ISNUMBER($D77)),$B77-$D77,"")</f>
        <v/>
      </c>
      <c r="N77" s="39">
        <f>IF(AND(ISNUMBER($B77),ISNUMBER($H77)),$B77-$H77,"")</f>
        <v/>
      </c>
      <c r="O77" s="39">
        <f>IF(AND(ISNUMBER($B77),ISNUMBER($I77)),$B77-$I77,"")</f>
        <v/>
      </c>
      <c r="P77" s="40">
        <f>IF(AND($B77="",ISNUMBER($D77)),$D77,"")</f>
        <v/>
      </c>
      <c r="Q77" s="40">
        <f>IF(ISNUMBER($M77),ABS($M77),"")</f>
        <v/>
      </c>
      <c r="R77" s="41">
        <f>IF(ISNUMBER($M77),$M77^2,"")</f>
        <v/>
      </c>
      <c r="S77" s="40">
        <f>IF(ISNUMBER($N77),ABS($N77),"")</f>
        <v/>
      </c>
      <c r="T77" s="41">
        <f>IF(ISNUMBER($N77),$N77^2,"")</f>
        <v/>
      </c>
      <c r="U77" s="40">
        <f>IF(ISNUMBER($O77),ABS($O77),"")</f>
        <v/>
      </c>
      <c r="V77" s="41">
        <f>IF(ISNUMBER($O77),$O77^2,"")</f>
        <v/>
      </c>
      <c r="W77" s="41">
        <f>IF(ISNUMBER($B77),($B77-$C$45)^2,"")</f>
        <v/>
      </c>
      <c r="X77" s="40">
        <f>IF(AND($B77="",ISNUMBER($E77)),$E77,"")</f>
        <v/>
      </c>
    </row>
    <row r="78">
      <c r="A78" s="35" t="n">
        <v>46202</v>
      </c>
      <c r="B78" s="36" t="n">
        <v>0.64</v>
      </c>
      <c r="C78" s="37" t="inlineStr">
        <is>
          <t>FINAL</t>
        </is>
      </c>
      <c r="D78" s="36" t="n">
        <v>0.8031</v>
      </c>
      <c r="E78" s="38" t="n"/>
      <c r="F78" s="38" t="n"/>
      <c r="G78" s="38" t="n"/>
      <c r="H78" s="38" t="n"/>
      <c r="I78" s="38" t="n"/>
      <c r="J78" s="38" t="n"/>
      <c r="K78" s="39">
        <f>IF(ISNUMBER($B78),$B78,IF(ISNUMBER($D78),$D78,""))</f>
        <v/>
      </c>
      <c r="L78" s="39">
        <f>IF(COUNT($B$50:$B78)=0,"",AVERAGE($B$50:$B78))</f>
        <v/>
      </c>
      <c r="M78" s="39">
        <f>IF(AND(ISNUMBER($B78),ISNUMBER($D78)),$B78-$D78,"")</f>
        <v/>
      </c>
      <c r="N78" s="39">
        <f>IF(AND(ISNUMBER($B78),ISNUMBER($H78)),$B78-$H78,"")</f>
        <v/>
      </c>
      <c r="O78" s="39">
        <f>IF(AND(ISNUMBER($B78),ISNUMBER($I78)),$B78-$I78,"")</f>
        <v/>
      </c>
      <c r="P78" s="40">
        <f>IF(AND($B78="",ISNUMBER($D78)),$D78,"")</f>
        <v/>
      </c>
      <c r="Q78" s="40">
        <f>IF(ISNUMBER($M78),ABS($M78),"")</f>
        <v/>
      </c>
      <c r="R78" s="41">
        <f>IF(ISNUMBER($M78),$M78^2,"")</f>
        <v/>
      </c>
      <c r="S78" s="40">
        <f>IF(ISNUMBER($N78),ABS($N78),"")</f>
        <v/>
      </c>
      <c r="T78" s="41">
        <f>IF(ISNUMBER($N78),$N78^2,"")</f>
        <v/>
      </c>
      <c r="U78" s="40">
        <f>IF(ISNUMBER($O78),ABS($O78),"")</f>
        <v/>
      </c>
      <c r="V78" s="41">
        <f>IF(ISNUMBER($O78),$O78^2,"")</f>
        <v/>
      </c>
      <c r="W78" s="41">
        <f>IF(ISNUMBER($B78),($B78-$C$45)^2,"")</f>
        <v/>
      </c>
      <c r="X78" s="40">
        <f>IF(AND($B78="",ISNUMBER($E78)),$E78,"")</f>
        <v/>
      </c>
    </row>
    <row r="79">
      <c r="A79" s="35" t="n">
        <v>46203</v>
      </c>
      <c r="B79" s="36" t="n">
        <v>0.635</v>
      </c>
      <c r="C79" s="37" t="inlineStr">
        <is>
          <t>FINAL</t>
        </is>
      </c>
      <c r="D79" s="36" t="n">
        <v>0.6909</v>
      </c>
      <c r="E79" s="38" t="n"/>
      <c r="F79" s="38" t="n"/>
      <c r="G79" s="38" t="n"/>
      <c r="H79" s="38" t="n"/>
      <c r="I79" s="38" t="n"/>
      <c r="J79" s="38" t="n"/>
      <c r="K79" s="39">
        <f>IF(ISNUMBER($B79),$B79,IF(ISNUMBER($D79),$D79,""))</f>
        <v/>
      </c>
      <c r="L79" s="39">
        <f>IF(COUNT($B$50:$B79)=0,"",AVERAGE($B$50:$B79))</f>
        <v/>
      </c>
      <c r="M79" s="39">
        <f>IF(AND(ISNUMBER($B79),ISNUMBER($D79)),$B79-$D79,"")</f>
        <v/>
      </c>
      <c r="N79" s="39">
        <f>IF(AND(ISNUMBER($B79),ISNUMBER($H79)),$B79-$H79,"")</f>
        <v/>
      </c>
      <c r="O79" s="39">
        <f>IF(AND(ISNUMBER($B79),ISNUMBER($I79)),$B79-$I79,"")</f>
        <v/>
      </c>
      <c r="P79" s="40">
        <f>IF(AND($B79="",ISNUMBER($D79)),$D79,"")</f>
        <v/>
      </c>
      <c r="Q79" s="40">
        <f>IF(ISNUMBER($M79),ABS($M79),"")</f>
        <v/>
      </c>
      <c r="R79" s="41">
        <f>IF(ISNUMBER($M79),$M79^2,"")</f>
        <v/>
      </c>
      <c r="S79" s="40">
        <f>IF(ISNUMBER($N79),ABS($N79),"")</f>
        <v/>
      </c>
      <c r="T79" s="41">
        <f>IF(ISNUMBER($N79),$N79^2,"")</f>
        <v/>
      </c>
      <c r="U79" s="40">
        <f>IF(ISNUMBER($O79),ABS($O79),"")</f>
        <v/>
      </c>
      <c r="V79" s="41">
        <f>IF(ISNUMBER($O79),$O79^2,"")</f>
        <v/>
      </c>
      <c r="W79" s="41">
        <f>IF(ISNUMBER($B79),($B79-$C$45)^2,"")</f>
        <v/>
      </c>
      <c r="X79" s="40">
        <f>IF(AND($B79="",ISNUMBER($E79)),$E79,"")</f>
        <v/>
      </c>
    </row>
    <row r="80">
      <c r="A80" s="18" t="inlineStr">
        <is>
          <t>↑ GREEN = real data filled.  YELLOW = genuinely unavailable for June (never archived) — left blank, not invented.</t>
        </is>
      </c>
    </row>
    <row r="82" ht="19" customHeight="1">
      <c r="A82" s="11" t="inlineStr">
        <is>
          <t>BLOCK 3 — MONTH BUILD &amp; PROBABILITY (the engine, at k=30 = month complete)</t>
        </is>
      </c>
    </row>
    <row r="83">
      <c r="A83" s="12" t="inlineStr">
        <is>
          <t>k  — observed days</t>
        </is>
      </c>
      <c r="C83" s="42">
        <f>COUNT($B$50:$B$79)</f>
        <v/>
      </c>
      <c r="E83" s="18" t="inlineStr">
        <is>
          <t>All 30 days observed → month fully banked.</t>
        </is>
      </c>
    </row>
    <row r="84">
      <c r="A84" s="13" t="inlineStr">
        <is>
          <t>Banked sum  Σ observed</t>
        </is>
      </c>
      <c r="C84" s="43">
        <f>SUM($B$50:$B$79)</f>
        <v/>
      </c>
    </row>
    <row r="85">
      <c r="A85" s="13" t="inlineStr">
        <is>
          <t>Banked mean  B_k</t>
        </is>
      </c>
      <c r="C85" s="43">
        <f>IF($C$83=0,"",$C$84/$C$83)</f>
        <v/>
      </c>
      <c r="E85" s="18" t="inlineStr">
        <is>
          <t>equals the final ERA5 June mean.</t>
        </is>
      </c>
    </row>
    <row r="86">
      <c r="A86" s="13" t="inlineStr">
        <is>
          <t>Remaining days</t>
        </is>
      </c>
      <c r="C86" s="44">
        <f>$C$13-$C$83</f>
        <v/>
      </c>
      <c r="E86" s="18" t="inlineStr">
        <is>
          <t>Zero — nothing left to forecast.</t>
        </is>
      </c>
    </row>
    <row r="87">
      <c r="A87" s="13" t="inlineStr">
        <is>
          <t>Remaining-days forecast mean  R</t>
        </is>
      </c>
      <c r="C87" s="43">
        <f>IFERROR(AVERAGE($P$50:$P$79),"")</f>
        <v/>
      </c>
      <c r="E87" s="18" t="inlineStr">
        <is>
          <t>Empty by construction (no remaining days).</t>
        </is>
      </c>
    </row>
    <row r="88">
      <c r="A88" s="13" t="inlineStr">
        <is>
          <t>Days covered (obs + forecast)</t>
        </is>
      </c>
      <c r="C88" s="44">
        <f>COUNT($K$50:$K$79)</f>
        <v/>
      </c>
    </row>
    <row r="89">
      <c r="A89" s="12" t="inlineStr">
        <is>
          <t>FULL-MONTH ERA5 projection</t>
        </is>
      </c>
      <c r="C89" s="45">
        <f>IF($C$88=$C$13,SUM($K$50:$K$79)/$C$13,"")</f>
        <v/>
      </c>
      <c r="E89" s="18" t="inlineStr">
        <is>
          <t>With k=30 this IS the realised ERA5 June mean.</t>
        </is>
      </c>
    </row>
    <row r="90">
      <c r="A90" s="13" t="inlineStr">
        <is>
          <t>sd_f from variance collapse at k</t>
        </is>
      </c>
      <c r="C90" s="46">
        <f>IFERROR(INDEX($C$30:$C$36,MATCH($C$83,$A$30:$A$36,1)),INDEX($C$30:$C$36,1))</f>
        <v/>
      </c>
      <c r="E90" s="18" t="inlineStr">
        <is>
          <t>At k=30 forecast error is 0 by definition.</t>
        </is>
      </c>
    </row>
    <row r="91">
      <c r="A91" s="13" t="inlineStr">
        <is>
          <t>Mean ENS spread over remaining days</t>
        </is>
      </c>
      <c r="C91" s="46">
        <f>IFERROR(AVERAGE($X$50:$X$79),"")</f>
        <v/>
      </c>
    </row>
    <row r="92">
      <c r="A92" s="13" t="inlineStr">
        <is>
          <t>ENS term = ρ · mean_spread · (D−k)/D</t>
        </is>
      </c>
      <c r="C92" s="46">
        <f>IFERROR($C$44*$C$91*$C$86/$C$13,0)</f>
        <v/>
      </c>
    </row>
    <row r="93">
      <c r="A93" s="13" t="inlineStr">
        <is>
          <t>σ_forecast  = √(sd_f² + ENS_term²)</t>
        </is>
      </c>
      <c r="C93" s="46">
        <f>IFERROR(SQRT($C$90^2+$C$92^2),"")</f>
        <v/>
      </c>
      <c r="E93" s="18" t="inlineStr">
        <is>
          <t>Collapses to 0 — all remaining uncertainty is gone.</t>
        </is>
      </c>
    </row>
    <row r="94">
      <c r="A94" s="12" t="inlineStr">
        <is>
          <t>μ_NOAA = a + b · ERA5_projection   ◀ THE MODEL'S CALL</t>
        </is>
      </c>
      <c r="C94" s="47">
        <f>IF($C$89="","",$C$22+$C$23*$C$89)</f>
        <v/>
      </c>
      <c r="E94" s="18" t="inlineStr">
        <is>
          <t>This is what the model predicted NOAA would print.</t>
        </is>
      </c>
    </row>
    <row r="95">
      <c r="A95" s="13" t="inlineStr">
        <is>
          <t>σ_total = √((b·σ_forecast)² + σ_translation²)</t>
        </is>
      </c>
      <c r="C95" s="46">
        <f>IF($C$89="","",SQRT(($C$23*$C$93)^2+$C$24^2))</f>
        <v/>
      </c>
      <c r="E95" s="18" t="inlineStr">
        <is>
          <t>At k=30 this equals σ_translation — the irreducible ERA5→NOAA scatter.</t>
        </is>
      </c>
    </row>
    <row r="96">
      <c r="A96" s="13" t="inlineStr">
        <is>
          <t>z = (latent_threshold − μ)/σ_total</t>
        </is>
      </c>
      <c r="C96" s="43">
        <f>IF($C$94="","",($C$17-$C$94)/$C$95)</f>
        <v/>
      </c>
    </row>
    <row r="97">
      <c r="A97" s="13" t="inlineStr">
        <is>
          <t>P(YES) — single-path Normal</t>
        </is>
      </c>
      <c r="C97" s="48">
        <f>IF($C$96="","",1-NORMSDIST($C$96))</f>
        <v/>
      </c>
      <c r="E97" s="18" t="inlineStr">
        <is>
          <t>At k=30 this is the complete-information probability.</t>
        </is>
      </c>
    </row>
    <row r="98">
      <c r="A98" s="13" t="inlineStr">
        <is>
          <t>Required remaining-day average (diagnostic)</t>
        </is>
      </c>
      <c r="C98" s="43">
        <f>IF(OR($C$83=0,$C$83&gt;=$C$13),"",($C$13*$C$26-$C$84)/($C$13-$C$83))</f>
        <v/>
      </c>
      <c r="E98" s="18" t="inlineStr">
        <is>
          <t>Blank — no days remained.</t>
        </is>
      </c>
    </row>
    <row r="99">
      <c r="A99" s="13" t="inlineStr">
        <is>
          <t>Tie-band probability (latent 1.175–1.185 → prints 1.18 → NO)</t>
        </is>
      </c>
      <c r="C99" s="48">
        <f>IF($C$94="","",NORMSDIST(($C$17-$C$94)/$C$95)-NORMSDIST(($C$18-$C$94)/$C$95))</f>
        <v/>
      </c>
    </row>
    <row r="100">
      <c r="A100" s="12" t="inlineStr">
        <is>
          <t>P(YES) — 51-MEMBER ENSEMBLE  ◀ HEADLINE</t>
        </is>
      </c>
      <c r="C100" s="49">
        <f>IFERROR('ENS_members_raw'!$E$64,"")</f>
        <v/>
      </c>
      <c r="E100" s="18" t="inlineStr">
        <is>
          <t>Degenerate at k=30 (see ENS tab) → equals the single-path value, correctly.</t>
        </is>
      </c>
    </row>
    <row r="101">
      <c r="A101" s="13" t="inlineStr">
        <is>
          <t>P(YES) — GISTEMP (Polymarket cross-check)</t>
        </is>
      </c>
      <c r="C101" s="48">
        <f>IFERROR('ENS_members_raw'!$H$64,"")</f>
        <v/>
      </c>
    </row>
    <row r="103" ht="19" customHeight="1">
      <c r="A103" s="11" t="inlineStr">
        <is>
          <t>BLOCK 4 — MARKET &amp; PROFITABILITY  (snapshot: last session before the NOAA print)</t>
        </is>
      </c>
    </row>
    <row r="104">
      <c r="A104" s="32" t="inlineStr">
        <is>
          <t>⚠ Archived candles give CLOSE only — no historical bid/ask. Prices below use the close with ZERO assumed spread; real executable prices were ~1–3¢ worse, so the edges here are optimistic.</t>
        </is>
      </c>
    </row>
    <row r="105">
      <c r="A105" s="13" t="inlineStr">
        <is>
          <t>Snapshot session</t>
        </is>
      </c>
      <c r="C105" s="50" t="inlineStr">
        <is>
          <t>Jul 08</t>
        </is>
      </c>
      <c r="E105" s="18" t="inlineStr">
        <is>
          <t>Last full session before the NOAA release on Jul 9.</t>
        </is>
      </c>
    </row>
    <row r="106">
      <c r="A106" s="13" t="inlineStr">
        <is>
          <t>Kalshi YES ask (¢)</t>
        </is>
      </c>
      <c r="C106" s="51" t="n">
        <v>8</v>
      </c>
      <c r="E106" s="18" t="inlineStr">
        <is>
          <t>equals that session's close (no spread assumed).</t>
        </is>
      </c>
    </row>
    <row r="107">
      <c r="A107" s="13" t="inlineStr">
        <is>
          <t>Kalshi YES bid (¢)</t>
        </is>
      </c>
      <c r="C107" s="51" t="n">
        <v>8</v>
      </c>
    </row>
    <row r="108">
      <c r="A108" s="13" t="inlineStr">
        <is>
          <t>Kalshi NO ask (¢)</t>
        </is>
      </c>
      <c r="C108" s="51" t="n">
        <v>92</v>
      </c>
      <c r="E108" s="18" t="inlineStr">
        <is>
          <t>equals 100 minus the YES close.</t>
        </is>
      </c>
    </row>
    <row r="109">
      <c r="A109" s="13" t="inlineStr">
        <is>
          <t>Kalshi NO bid (¢)</t>
        </is>
      </c>
      <c r="C109" s="51" t="n">
        <v>92</v>
      </c>
    </row>
    <row r="110">
      <c r="A110" s="13" t="inlineStr">
        <is>
          <t>Depth per side (contracts)</t>
        </is>
      </c>
      <c r="C110" s="52" t="n">
        <v>1500</v>
      </c>
      <c r="E110" s="18" t="inlineStr">
        <is>
          <t>Representative ~$1–3k book.</t>
        </is>
      </c>
    </row>
    <row r="111">
      <c r="A111" s="13" t="inlineStr">
        <is>
          <t>Bankroll ($)</t>
        </is>
      </c>
      <c r="C111" s="53" t="n">
        <v>500</v>
      </c>
    </row>
    <row r="112">
      <c r="A112" s="13" t="inlineStr">
        <is>
          <t>Contracts n (for fee calc)</t>
        </is>
      </c>
      <c r="C112" s="52" t="n">
        <v>937</v>
      </c>
      <c r="E112" s="18" t="inlineStr">
        <is>
          <t>The net NO actually carried into settlement.</t>
        </is>
      </c>
    </row>
    <row r="113">
      <c r="A113" s="13" t="inlineStr">
        <is>
          <t>Position (+NO / −YES, contracts)</t>
        </is>
      </c>
      <c r="C113" s="52" t="n">
        <v>937</v>
      </c>
      <c r="E113" s="18" t="inlineStr">
        <is>
          <t>Real: net NO held at settlement (account data).</t>
        </is>
      </c>
    </row>
    <row r="115">
      <c r="A115" s="13" t="inlineStr">
        <is>
          <t>Market-implied P(YES)  (from YES ask)</t>
        </is>
      </c>
      <c r="C115" s="48">
        <f>IF($C$106="","",$C$106/100)</f>
        <v/>
      </c>
    </row>
    <row r="116">
      <c r="A116" s="13" t="inlineStr">
        <is>
          <t>P_low  — conservative for BUYING YES</t>
        </is>
      </c>
      <c r="C116" s="48">
        <f>IF(OR($C$100="",$C$97=""),"",MIN($C$100,$C$97))</f>
        <v/>
      </c>
    </row>
    <row r="117">
      <c r="A117" s="13" t="inlineStr">
        <is>
          <t>P_high — conservative for BUYING NO</t>
        </is>
      </c>
      <c r="C117" s="48">
        <f>IF(OR($C$100="",$C$97=""),"",MAX($C$100,$C$97))</f>
        <v/>
      </c>
    </row>
    <row r="118">
      <c r="A118" s="13" t="inlineStr">
        <is>
          <t>Fair YES (conservative) ¢</t>
        </is>
      </c>
      <c r="C118" s="54">
        <f>IF($C$116="","",$C$116*100)</f>
        <v/>
      </c>
    </row>
    <row r="119">
      <c r="A119" s="13" t="inlineStr">
        <is>
          <t>Fair NO (conservative) ¢</t>
        </is>
      </c>
      <c r="C119" s="54">
        <f>IF($C$117="","",(1-$C$117)*100)</f>
        <v/>
      </c>
    </row>
    <row r="120">
      <c r="A120" s="12" t="inlineStr">
        <is>
          <t>EDGE YES = fair_YES − YES_ask  (¢)</t>
        </is>
      </c>
      <c r="C120" s="55">
        <f>IF(OR($C$118="",$C$106=""),"",$C$118-$C$106)</f>
        <v/>
      </c>
    </row>
    <row r="121">
      <c r="A121" s="12" t="inlineStr">
        <is>
          <t>EDGE NO  = fair_NO − NO_ask  (¢)</t>
        </is>
      </c>
      <c r="C121" s="55">
        <f>IF(OR($C$119="",$C$108=""),"",$C$119-$C$108)</f>
        <v/>
      </c>
      <c r="E121" s="18" t="inlineStr">
        <is>
          <t>Positive = the longshot premium that was still on the table at the very end.</t>
        </is>
      </c>
    </row>
    <row r="122">
      <c r="A122" s="13" t="inlineStr">
        <is>
          <t>Fee YES (¢ total)</t>
        </is>
      </c>
      <c r="C122" s="56">
        <f>IF(OR($C$112="",$C$106=""),"",CEILING(0.07*$C$112*($C$106/100)*(1-$C$106/100),1))</f>
        <v/>
      </c>
    </row>
    <row r="123">
      <c r="A123" s="13" t="inlineStr">
        <is>
          <t>Fee NO (¢ total)</t>
        </is>
      </c>
      <c r="C123" s="56">
        <f>IF(OR($C$112="",$C$108=""),"",CEILING(0.07*$C$112*($C$108/100)*(1-$C$108/100),1))</f>
        <v/>
      </c>
    </row>
    <row r="124">
      <c r="A124" s="13" t="inlineStr">
        <is>
          <t>EV per contract, BUY YES (¢ after fee)</t>
        </is>
      </c>
      <c r="C124" s="54">
        <f>IF(OR($C$120="",$C$112="",$C$112=0),"",$C$120-$C$122/$C$112)</f>
        <v/>
      </c>
    </row>
    <row r="125">
      <c r="A125" s="12" t="inlineStr">
        <is>
          <t>EV per contract, BUY NO (¢ after fee)</t>
        </is>
      </c>
      <c r="C125" s="55">
        <f>IF(OR($C$121="",$C$112="",$C$112=0),"",$C$121-$C$123/$C$112)</f>
        <v/>
      </c>
    </row>
    <row r="126">
      <c r="A126" s="13" t="inlineStr">
        <is>
          <t>Kelly f (full) — YES</t>
        </is>
      </c>
      <c r="C126" s="57">
        <f>IF(OR($C$116="",$C$106=""),"",IFERROR(($C$116*((100-$C$106)/$C$106)-(1-$C$116))/((100-$C$106)/$C$106),""))</f>
        <v/>
      </c>
    </row>
    <row r="127">
      <c r="A127" s="13" t="inlineStr">
        <is>
          <t>Kelly f (full) — NO</t>
        </is>
      </c>
      <c r="C127" s="57">
        <f>IF(OR($C$117="",$C$108=""),"",IFERROR(((1-$C$117)*((100-$C$108)/$C$108)-$C$117)/((100-$C$108)/$C$108),""))</f>
        <v/>
      </c>
    </row>
    <row r="128">
      <c r="A128" s="13" t="inlineStr">
        <is>
          <t>Quarter-Kelly — YES</t>
        </is>
      </c>
      <c r="C128" s="57">
        <f>IF($C$126="","",MAX(0,$C$126/4))</f>
        <v/>
      </c>
    </row>
    <row r="129">
      <c r="A129" s="13" t="inlineStr">
        <is>
          <t>Quarter-Kelly — NO</t>
        </is>
      </c>
      <c r="C129" s="57">
        <f>IF($C$127="","",MAX(0,$C$127/4))</f>
        <v/>
      </c>
    </row>
    <row r="130">
      <c r="A130" s="13" t="inlineStr">
        <is>
          <t>STAKE YES $</t>
        </is>
      </c>
      <c r="C130" s="58">
        <f>IF(OR($C$128="",$C$111="",$C$110="",$C$106=""),"",MIN($C$128*$C$111,$C$110/3*$C$106/100,300))</f>
        <v/>
      </c>
    </row>
    <row r="131">
      <c r="A131" s="12" t="inlineStr">
        <is>
          <t>STAKE NO $  = min(¼K·bankroll, depth/3·price, $300 cap)</t>
        </is>
      </c>
      <c r="C131" s="59">
        <f>IF(OR($C$129="",$C$111="",$C$110="",$C$108=""),"",MIN($C$129*$C$111,$C$110/3*$C$108/100,300))</f>
        <v/>
      </c>
    </row>
    <row r="132">
      <c r="A132" s="13" t="inlineStr">
        <is>
          <t>Divergence |market_YES − P(YES)_ens|</t>
        </is>
      </c>
      <c r="C132" s="48">
        <f>IF(OR($C$115="",$C$100=""),"",ABS($C$115-$C$100))</f>
        <v/>
      </c>
    </row>
    <row r="133">
      <c r="A133" s="12" t="inlineStr">
        <is>
          <t>Divergence flag (&gt;15 pts)</t>
        </is>
      </c>
      <c r="C133" s="60">
        <f>IF($C$132="","",IF($C$132&gt;0.15,"◀ DIVERGENCE","ok"))</f>
        <v/>
      </c>
    </row>
    <row r="134">
      <c r="A134" s="13" t="inlineStr">
        <is>
          <t>Exposure $ (position × price)</t>
        </is>
      </c>
      <c r="C134" s="58">
        <f>IF(OR($C$113="",$C$108=""),"",ABS($C$113)*IF($C$113&gt;=0,$C$108,$C$106)/100)</f>
        <v/>
      </c>
    </row>
    <row r="135">
      <c r="A135" s="12" t="inlineStr">
        <is>
          <t>$300 hard-cap check</t>
        </is>
      </c>
      <c r="C135" s="60">
        <f>IF($C$134="","",IF($C$134&gt;300,"◀ CAP BREACHED","within cap"))</f>
        <v/>
      </c>
    </row>
    <row r="136">
      <c r="A136" s="12" t="inlineStr">
        <is>
          <t>ACTION  (decision table)</t>
        </is>
      </c>
      <c r="C136" s="61">
        <f>IF($C$100="","— no data —",IF($C$134&gt;300,"HALT — over $300 cap",IF(AND(ISNUMBER($C$121),$C$121&gt;=3,ISNUMBER($C$110),$C$110&gt;0),"ACCUMULATE NO (edge ≥3¢)",IF(AND(ISNUMBER($C$120),$C$120&gt;=3,ISNUMBER($C$110),$C$110&gt;0),"ACCUMULATE YES (edge ≥3¢)",IF(AND(ISNUMBER($C$132),$C$132&gt;0.15),"DIVERGENCE — check Fcst_log","PASSIVE / NO TRADE")))))</f>
        <v/>
      </c>
    </row>
    <row r="138" ht="19" customHeight="1">
      <c r="A138" s="11" t="inlineStr">
        <is>
          <t>BLOCK 5 — VERIFICATION &amp; MODEL WEIGHTS</t>
        </is>
      </c>
    </row>
    <row r="139">
      <c r="A139" s="32" t="inlineStr">
        <is>
          <t>⚠ PROVENANCE: the ECMWF column is an ARCHIVED short-lead run sampled on a 15° grid, not a true multi-day-lead forecast. Its bias is dominated by grid-sampling, and its errors UNDERSTATE real forecast error. Read the bias row as a sampling offset, not as skill.</t>
        </is>
      </c>
    </row>
    <row r="140">
      <c r="A140" s="62" t="inlineStr">
        <is>
          <t>Metric</t>
        </is>
      </c>
      <c r="B140" s="62" t="inlineStr"/>
      <c r="D140" s="62" t="inlineStr">
        <is>
          <t>ECMWF (archived)</t>
        </is>
      </c>
      <c r="E140" s="62" t="inlineStr">
        <is>
          <t>GFS</t>
        </is>
      </c>
      <c r="F140" s="62" t="inlineStr">
        <is>
          <t>GEFS</t>
        </is>
      </c>
    </row>
    <row r="141">
      <c r="A141" s="13" t="inlineStr">
        <is>
          <t>n verified days</t>
        </is>
      </c>
      <c r="C141" s="23">
        <f>COUNT($M$50:$M$79)</f>
        <v/>
      </c>
      <c r="D141" s="23">
        <f>COUNT($N$50:$N$79)</f>
        <v/>
      </c>
      <c r="E141" s="23">
        <f>COUNT($O$50:$O$79)</f>
        <v/>
      </c>
    </row>
    <row r="142">
      <c r="A142" s="13" t="inlineStr">
        <is>
          <t>Bias (mean error, obs−fcst)</t>
        </is>
      </c>
      <c r="C142" s="33">
        <f>IFERROR(AVERAGE($M$50:$M$79),"")</f>
        <v/>
      </c>
      <c r="D142" s="33">
        <f>IFERROR(AVERAGE($N$50:$N$79),"")</f>
        <v/>
      </c>
      <c r="E142" s="33">
        <f>IFERROR(AVERAGE($O$50:$O$79),"")</f>
        <v/>
      </c>
      <c r="G142" s="18" t="inlineStr">
        <is>
          <t>Negative = archived product ran WARM vs ERA5 (15° sampling offset).</t>
        </is>
      </c>
    </row>
    <row r="143">
      <c r="A143" s="13" t="inlineStr">
        <is>
          <t>MAE</t>
        </is>
      </c>
      <c r="C143" s="33">
        <f>IFERROR(AVERAGE($Q$50:$Q$79),"")</f>
        <v/>
      </c>
      <c r="D143" s="33">
        <f>IFERROR(AVERAGE($S$50:$S$79),"")</f>
        <v/>
      </c>
      <c r="E143" s="33">
        <f>IFERROR(AVERAGE($U$50:$U$79),"")</f>
        <v/>
      </c>
    </row>
    <row r="144">
      <c r="A144" s="13" t="inlineStr">
        <is>
          <t>RMSE</t>
        </is>
      </c>
      <c r="C144" s="33">
        <f>IFERROR(SQRT(AVERAGE($R$50:$R$79)),"")</f>
        <v/>
      </c>
      <c r="D144" s="33">
        <f>IFERROR(SQRT(AVERAGE($T$50:$T$79)),"")</f>
        <v/>
      </c>
      <c r="E144" s="33">
        <f>IFERROR(SQRT(AVERAGE($V$50:$V$79)),"")</f>
        <v/>
      </c>
    </row>
    <row r="145">
      <c r="A145" s="13" t="inlineStr">
        <is>
          <t>Mean ENS spread σ</t>
        </is>
      </c>
      <c r="C145" s="26">
        <f>IFERROR(AVERAGE($E$50:$E$79),"")</f>
        <v/>
      </c>
    </row>
    <row r="146">
      <c r="A146" s="13" t="inlineStr">
        <is>
          <t>Spread-to-skill ratio (ENS)</t>
        </is>
      </c>
      <c r="C146" s="63">
        <f>IFERROR($C$145/$C$144,"")</f>
        <v/>
      </c>
      <c r="G146" s="18" t="inlineStr">
        <is>
          <t>Blank — no spread was archived for June.</t>
        </is>
      </c>
    </row>
    <row r="147">
      <c r="A147" s="13" t="inlineStr">
        <is>
          <t>RMSE climatology (benchmark)</t>
        </is>
      </c>
      <c r="C147" s="33">
        <f>IFERROR(SQRT(AVERAGE($W$50:$W$79)),"")</f>
        <v/>
      </c>
      <c r="G147" s="18" t="inlineStr">
        <is>
          <t>Predicting the 5-yr mean June anomaly every day.</t>
        </is>
      </c>
    </row>
    <row r="148">
      <c r="A148" s="13" t="inlineStr">
        <is>
          <t>Skill vs climatology  (1 − RMSE/RMSE_clim)</t>
        </is>
      </c>
      <c r="C148" s="64">
        <f>IFERROR(1-C144/$C$147,"")</f>
        <v/>
      </c>
      <c r="D148" s="64">
        <f>IFERROR(1-D144/$C$147,"")</f>
        <v/>
      </c>
      <c r="E148" s="64">
        <f>IFERROR(1-E144/$C$147,"")</f>
        <v/>
      </c>
    </row>
    <row r="150">
      <c r="A150" s="12" t="inlineStr">
        <is>
          <t>dev3 — mean error, last 3 verified days</t>
        </is>
      </c>
      <c r="C150" s="45">
        <f>IF($C$83=0,"",IFERROR((IF(ISNUMBER(INDEX($M$50:$M$79,$C$83)),INDEX($M$50:$M$79,$C$83),0)+IF(AND($C$83&gt;=2,ISNUMBER(INDEX($M$50:$M$79,MAX(1,$C$83-1)))),INDEX($M$50:$M$79,MAX(1,$C$83-1)),0)+IF(AND($C$83&gt;=3,ISNUMBER(INDEX($M$50:$M$79,MAX(1,$C$83-2)))),INDEX($M$50:$M$79,MAX(1,$C$83-2)),0))/MAX(1,IF(ISNUMBER(INDEX($M$50:$M$79,$C$83)),1,0)+IF(AND($C$83&gt;=2,ISNUMBER(INDEX($M$50:$M$79,MAX(1,$C$83-1)))),1,0)+IF(AND($C$83&gt;=3,ISNUMBER(INDEX($M$50:$M$79,MAX(1,$C$83-2)))),1,0)),""))</f>
        <v/>
      </c>
    </row>
    <row r="151">
      <c r="A151" s="12" t="inlineStr">
        <is>
          <t>dev3 flag</t>
        </is>
      </c>
      <c r="C151" s="12">
        <f>IF($C$150="","",IF(ABS($C$150)&gt;0.05,"⚠ WARN","ok"))</f>
        <v/>
      </c>
    </row>
    <row r="153">
      <c r="A153" s="65" t="inlineStr">
        <is>
          <t>Model weights (inverse recent MAE, normalised)</t>
        </is>
      </c>
    </row>
    <row r="154">
      <c r="A154" s="13" t="inlineStr">
        <is>
          <t>w ECMWF</t>
        </is>
      </c>
      <c r="C154" s="64">
        <f>IFERROR((1/$C$143)/((1/$C$143)+(1/$D$143)),"")</f>
        <v/>
      </c>
      <c r="E154" s="13" t="inlineStr">
        <is>
          <t>w GFS</t>
        </is>
      </c>
      <c r="F154" s="64">
        <f>IFERROR((1/$D$143)/((1/$C$143)+(1/$D$143)),"")</f>
        <v/>
      </c>
      <c r="I154" s="18" t="inlineStr">
        <is>
          <t>GFS blank for June → weight resolves to ECMWF only.</t>
        </is>
      </c>
    </row>
    <row r="156">
      <c r="A156" s="32" t="inlineStr">
        <is>
          <t>Withheld until n is large enough:</t>
        </is>
      </c>
    </row>
    <row r="157">
      <c r="A157" s="18" t="inlineStr">
        <is>
          <t xml:space="preserve">   R²</t>
        </is>
      </c>
      <c r="C157" s="18">
        <f>IF($C$141&gt;=30,"—compute now—","insufficient n")</f>
        <v/>
      </c>
    </row>
    <row r="158">
      <c r="A158" s="18" t="inlineStr">
        <is>
          <t xml:space="preserve">   Correlation</t>
        </is>
      </c>
      <c r="C158" s="18">
        <f>IF($C$141&gt;=30,"—compute now—","insufficient n")</f>
        <v/>
      </c>
    </row>
    <row r="159">
      <c r="A159" s="18" t="inlineStr">
        <is>
          <t xml:space="preserve">   Directional accuracy %</t>
        </is>
      </c>
      <c r="C159" s="18">
        <f>IF($C$141&gt;=30,"—compute now—","insufficient n")</f>
        <v/>
      </c>
    </row>
    <row r="160">
      <c r="A160" s="18" t="inlineStr">
        <is>
          <t xml:space="preserve">   Interval coverage 50/80/90%</t>
        </is>
      </c>
      <c r="C160" s="18">
        <f>IF($C$141&gt;=30,"—compute now—","insufficient n")</f>
        <v/>
      </c>
    </row>
    <row r="162" ht="19" customHeight="1">
      <c r="A162" s="11" t="inlineStr">
        <is>
          <t>BLOCK 6 — SETTLEMENT SCORECARD &amp; TRADING RESULT   ◀ the point of this workbook</t>
        </is>
      </c>
    </row>
    <row r="163">
      <c r="A163" s="15" t="inlineStr">
        <is>
          <t>MODEL vs REALITY</t>
        </is>
      </c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</row>
    <row r="164">
      <c r="A164" s="13" t="inlineStr">
        <is>
          <t>ERA5 June 2026 mean (realised)</t>
        </is>
      </c>
      <c r="C164" s="46">
        <f>$C$89</f>
        <v/>
      </c>
      <c r="E164" s="18" t="inlineStr">
        <is>
          <t>Mean of all 30 observed days.</t>
        </is>
      </c>
    </row>
    <row r="165">
      <c r="A165" s="12" t="inlineStr">
        <is>
          <t>Model predicted NOAA</t>
        </is>
      </c>
      <c r="C165" s="66">
        <f>$C$94</f>
        <v/>
      </c>
      <c r="E165" s="18" t="inlineStr">
        <is>
          <t>a + b × ERA5 mean, using the live-regressed translation.</t>
        </is>
      </c>
    </row>
    <row r="166">
      <c r="A166" s="12" t="inlineStr">
        <is>
          <t>NOAA ACTUAL printed</t>
        </is>
      </c>
      <c r="C166" s="67" t="n">
        <v>1.09</v>
      </c>
      <c r="E166" s="18" t="inlineStr">
        <is>
          <t>Published 2026-07-09. Source: NOAA NCEI Climate at a Glance.</t>
        </is>
      </c>
    </row>
    <row r="167">
      <c r="A167" s="12" t="inlineStr">
        <is>
          <t>Residual (actual − predicted)</t>
        </is>
      </c>
      <c r="C167" s="68">
        <f>$C$166-$C$165</f>
        <v/>
      </c>
      <c r="E167" s="18" t="inlineStr">
        <is>
          <t>The model's out-of-sample error for June.</t>
        </is>
      </c>
    </row>
    <row r="168">
      <c r="A168" s="13" t="inlineStr">
        <is>
          <t>Residual in σ units</t>
        </is>
      </c>
      <c r="C168" s="69">
        <f>IFERROR(ABS($C$167)/$C$24,"")</f>
        <v/>
      </c>
      <c r="E168" s="18" t="inlineStr">
        <is>
          <t>How large the miss was relative to the translation scatter.</t>
        </is>
      </c>
    </row>
    <row r="169">
      <c r="A169" s="13" t="inlineStr">
        <is>
          <t>Model P(YES) at month end</t>
        </is>
      </c>
      <c r="C169" s="48">
        <f>$C$100</f>
        <v/>
      </c>
    </row>
    <row r="170">
      <c r="A170" s="13" t="inlineStr">
        <is>
          <t>Market P(YES), final session</t>
        </is>
      </c>
      <c r="C170" s="48">
        <f>$C$115</f>
        <v/>
      </c>
      <c r="E170" s="18" t="inlineStr">
        <is>
          <t>Market still paid a small premium for the longshot at the end.</t>
        </is>
      </c>
    </row>
    <row r="172">
      <c r="A172" s="15" t="inlineStr">
        <is>
          <t>OUTCOME</t>
        </is>
      </c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</row>
    <row r="173">
      <c r="A173" s="12" t="inlineStr">
        <is>
          <t>Did June set a record?</t>
        </is>
      </c>
      <c r="C173" s="70">
        <f>IF($C$166&gt;=$C$17,"YES — record broken","NO — record stood")</f>
        <v/>
      </c>
      <c r="E173" s="18" t="inlineStr">
        <is>
          <t>1.09 printed vs 1.185 needed. Not close.</t>
        </is>
      </c>
    </row>
    <row r="174">
      <c r="A174" s="12" t="inlineStr">
        <is>
          <t>Contract settled</t>
        </is>
      </c>
      <c r="C174" s="70">
        <f>IF($C$166&gt;=$C$17,"YES pays $1","NO pays $1")</f>
        <v/>
      </c>
    </row>
    <row r="175">
      <c r="A175" s="12" t="inlineStr">
        <is>
          <t>Was the model directionally right?</t>
        </is>
      </c>
      <c r="C175" s="70">
        <f>IF(AND($C$100&lt;0.5,$C$166&lt;$C$17),"CORRECT — model said NO, NO settled",IF(AND($C$100&gt;=0.5,$C$166&gt;=$C$17),"CORRECT — model said YES, YES settled","WRONG"))</f>
        <v/>
      </c>
    </row>
    <row r="177">
      <c r="A177" s="15" t="inlineStr">
        <is>
          <t>REALISED TRADING RESULT  (from the authenticated Kalshi account)</t>
        </is>
      </c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</row>
    <row r="178">
      <c r="A178" s="13" t="inlineStr">
        <is>
          <t>Fills</t>
        </is>
      </c>
      <c r="C178" s="52" t="n">
        <v>108</v>
      </c>
      <c r="E178" s="18" t="inlineStr">
        <is>
          <t>Account fill history.</t>
        </is>
      </c>
    </row>
    <row r="179">
      <c r="A179" s="13" t="inlineStr">
        <is>
          <t>NO contracts bought</t>
        </is>
      </c>
      <c r="C179" s="52" t="n">
        <v>4629.04</v>
      </c>
    </row>
    <row r="180">
      <c r="A180" s="13" t="inlineStr">
        <is>
          <t>Average NO buy price</t>
        </is>
      </c>
      <c r="C180" s="71" t="n">
        <v>0.9169</v>
      </c>
      <c r="E180" s="18" t="inlineStr">
        <is>
          <t>Bought the ‘not a record’ side around 92¢.</t>
        </is>
      </c>
    </row>
    <row r="181">
      <c r="A181" s="13" t="inlineStr">
        <is>
          <t>Total buy cost</t>
        </is>
      </c>
      <c r="C181" s="53" t="n">
        <v>4244.28</v>
      </c>
    </row>
    <row r="182">
      <c r="A182" s="13" t="inlineStr">
        <is>
          <t>Contracts closed early</t>
        </is>
      </c>
      <c r="C182" s="52" t="n">
        <v>3691.75</v>
      </c>
    </row>
    <row r="183">
      <c r="A183" s="13" t="inlineStr">
        <is>
          <t>Proceeds from closes</t>
        </is>
      </c>
      <c r="C183" s="53" t="n">
        <v>3561.64</v>
      </c>
    </row>
    <row r="184">
      <c r="A184" s="13" t="inlineStr">
        <is>
          <t>Fees paid</t>
        </is>
      </c>
      <c r="C184" s="53" t="n">
        <v>3.5</v>
      </c>
    </row>
    <row r="185">
      <c r="A185" s="13" t="inlineStr">
        <is>
          <t>Net NO carried to settlement</t>
        </is>
      </c>
      <c r="C185" s="72">
        <f>$C$179-$C$182</f>
        <v/>
      </c>
    </row>
    <row r="186">
      <c r="A186" s="13" t="inlineStr">
        <is>
          <t>Settlement payout  (net × $1)</t>
        </is>
      </c>
      <c r="C186" s="58">
        <f>$C$185*1</f>
        <v/>
      </c>
      <c r="E186" s="18" t="inlineStr">
        <is>
          <t>NO settled → each contract paid $1.00.</t>
        </is>
      </c>
    </row>
    <row r="187">
      <c r="A187" s="12" t="inlineStr">
        <is>
          <t>REALISED P&amp;L</t>
        </is>
      </c>
      <c r="C187" s="73">
        <f>$C$183+$C$186-$C$181-$C$184</f>
        <v/>
      </c>
      <c r="E187" s="18" t="inlineStr">
        <is>
          <t>proceeds + payout − cost − fees</t>
        </is>
      </c>
    </row>
    <row r="188">
      <c r="A188" s="13" t="inlineStr">
        <is>
          <t>Return on cost</t>
        </is>
      </c>
      <c r="C188" s="57">
        <f>IFERROR($C$187/$C$181,"")</f>
        <v/>
      </c>
    </row>
    <row r="189">
      <c r="A189" s="13" t="inlineStr">
        <is>
          <t>Maker share of volume</t>
        </is>
      </c>
      <c r="C189" s="74" t="n">
        <v>0.9325</v>
      </c>
      <c r="E189" s="18" t="inlineStr">
        <is>
          <t>Resting orders → ~0 fee. This is why fees were only $3.50.</t>
        </is>
      </c>
    </row>
    <row r="191" ht="19" customHeight="1">
      <c r="A191" s="11" t="inlineStr">
        <is>
          <t>BLOCK 6b — KALSHI MARKET PRICE PATH (real daily candles — the longshot decaying to zero)</t>
        </is>
      </c>
    </row>
    <row r="192">
      <c r="A192" s="75" t="inlineStr">
        <is>
          <t>Session</t>
        </is>
      </c>
      <c r="B192" s="75" t="inlineStr">
        <is>
          <t>YES close (¢)</t>
        </is>
      </c>
      <c r="C192" s="75" t="inlineStr">
        <is>
          <t>Volume (contracts)</t>
        </is>
      </c>
      <c r="D192" s="75" t="inlineStr">
        <is>
          <t>Model P(YES) at month end</t>
        </is>
      </c>
      <c r="E192" s="75" t="inlineStr">
        <is>
          <t>YES premium vs model (¢)</t>
        </is>
      </c>
    </row>
    <row r="193">
      <c r="A193" s="37" t="inlineStr">
        <is>
          <t>May 28</t>
        </is>
      </c>
      <c r="B193" s="76" t="n">
        <v>10</v>
      </c>
      <c r="C193" s="77" t="n">
        <v>51</v>
      </c>
      <c r="D193" s="78">
        <f>$C$100*100</f>
        <v/>
      </c>
      <c r="E193" s="78">
        <f>$B193-$D193</f>
        <v/>
      </c>
    </row>
    <row r="194">
      <c r="A194" s="37" t="inlineStr">
        <is>
          <t>May 29</t>
        </is>
      </c>
      <c r="B194" s="76" t="n">
        <v>10</v>
      </c>
      <c r="C194" s="77" t="n">
        <v>10</v>
      </c>
      <c r="D194" s="78">
        <f>$C$100*100</f>
        <v/>
      </c>
      <c r="E194" s="78">
        <f>$B194-$D194</f>
        <v/>
      </c>
    </row>
    <row r="195">
      <c r="A195" s="37" t="inlineStr">
        <is>
          <t>May 30</t>
        </is>
      </c>
      <c r="B195" s="76" t="n">
        <v>28</v>
      </c>
      <c r="C195" s="77" t="n">
        <v>1003.06</v>
      </c>
      <c r="D195" s="78">
        <f>$C$100*100</f>
        <v/>
      </c>
      <c r="E195" s="78">
        <f>$B195-$D195</f>
        <v/>
      </c>
    </row>
    <row r="196">
      <c r="A196" s="37" t="inlineStr">
        <is>
          <t>May 31</t>
        </is>
      </c>
      <c r="B196" s="76" t="n">
        <v>21</v>
      </c>
      <c r="C196" s="77" t="n">
        <v>285.61</v>
      </c>
      <c r="D196" s="78">
        <f>$C$100*100</f>
        <v/>
      </c>
      <c r="E196" s="78">
        <f>$B196-$D196</f>
        <v/>
      </c>
    </row>
    <row r="197">
      <c r="A197" s="37" t="inlineStr">
        <is>
          <t>Jun 01</t>
        </is>
      </c>
      <c r="B197" s="76" t="n">
        <v>15</v>
      </c>
      <c r="C197" s="77" t="n">
        <v>302.5</v>
      </c>
      <c r="D197" s="78">
        <f>$C$100*100</f>
        <v/>
      </c>
      <c r="E197" s="78">
        <f>$B197-$D197</f>
        <v/>
      </c>
    </row>
    <row r="198">
      <c r="A198" s="37" t="inlineStr">
        <is>
          <t>Jun 02</t>
        </is>
      </c>
      <c r="B198" s="76" t="n">
        <v>13</v>
      </c>
      <c r="C198" s="77" t="n">
        <v>240.81</v>
      </c>
      <c r="D198" s="78">
        <f>$C$100*100</f>
        <v/>
      </c>
      <c r="E198" s="78">
        <f>$B198-$D198</f>
        <v/>
      </c>
    </row>
    <row r="199">
      <c r="A199" s="37" t="inlineStr">
        <is>
          <t>Jun 03</t>
        </is>
      </c>
      <c r="B199" s="76" t="n">
        <v>13</v>
      </c>
      <c r="C199" s="77" t="n">
        <v>21</v>
      </c>
      <c r="D199" s="78">
        <f>$C$100*100</f>
        <v/>
      </c>
      <c r="E199" s="78">
        <f>$B199-$D199</f>
        <v/>
      </c>
    </row>
    <row r="200">
      <c r="A200" s="37" t="inlineStr">
        <is>
          <t>Jun 04</t>
        </is>
      </c>
      <c r="B200" s="76" t="n">
        <v>15</v>
      </c>
      <c r="C200" s="77" t="n">
        <v>27.22</v>
      </c>
      <c r="D200" s="78">
        <f>$C$100*100</f>
        <v/>
      </c>
      <c r="E200" s="78">
        <f>$B200-$D200</f>
        <v/>
      </c>
    </row>
    <row r="201">
      <c r="A201" s="37" t="inlineStr">
        <is>
          <t>Jun 05</t>
        </is>
      </c>
      <c r="B201" s="76" t="n">
        <v>15</v>
      </c>
      <c r="C201" s="77" t="n">
        <v>720.73</v>
      </c>
      <c r="D201" s="78">
        <f>$C$100*100</f>
        <v/>
      </c>
      <c r="E201" s="78">
        <f>$B201-$D201</f>
        <v/>
      </c>
    </row>
    <row r="202">
      <c r="A202" s="37" t="inlineStr">
        <is>
          <t>Jun 06</t>
        </is>
      </c>
      <c r="B202" s="76" t="n">
        <v>13</v>
      </c>
      <c r="C202" s="77" t="n">
        <v>280.5</v>
      </c>
      <c r="D202" s="78">
        <f>$C$100*100</f>
        <v/>
      </c>
      <c r="E202" s="78">
        <f>$B202-$D202</f>
        <v/>
      </c>
    </row>
    <row r="203">
      <c r="A203" s="37" t="inlineStr">
        <is>
          <t>Jun 07</t>
        </is>
      </c>
      <c r="B203" s="76" t="n">
        <v>12</v>
      </c>
      <c r="C203" s="77" t="n">
        <v>296.2</v>
      </c>
      <c r="D203" s="78">
        <f>$C$100*100</f>
        <v/>
      </c>
      <c r="E203" s="78">
        <f>$B203-$D203</f>
        <v/>
      </c>
    </row>
    <row r="204">
      <c r="A204" s="37" t="inlineStr">
        <is>
          <t>Jun 08</t>
        </is>
      </c>
      <c r="B204" s="76" t="n">
        <v>10</v>
      </c>
      <c r="C204" s="77" t="n">
        <v>15.9</v>
      </c>
      <c r="D204" s="78">
        <f>$C$100*100</f>
        <v/>
      </c>
      <c r="E204" s="78">
        <f>$B204-$D204</f>
        <v/>
      </c>
    </row>
    <row r="205">
      <c r="A205" s="37" t="inlineStr">
        <is>
          <t>Jun 09</t>
        </is>
      </c>
      <c r="B205" s="76" t="n">
        <v>11</v>
      </c>
      <c r="C205" s="77" t="n">
        <v>280.53</v>
      </c>
      <c r="D205" s="78">
        <f>$C$100*100</f>
        <v/>
      </c>
      <c r="E205" s="78">
        <f>$B205-$D205</f>
        <v/>
      </c>
    </row>
    <row r="206">
      <c r="A206" s="37" t="inlineStr">
        <is>
          <t>Jun 10</t>
        </is>
      </c>
      <c r="B206" s="76" t="n">
        <v>13</v>
      </c>
      <c r="C206" s="77" t="n">
        <v>191.71</v>
      </c>
      <c r="D206" s="78">
        <f>$C$100*100</f>
        <v/>
      </c>
      <c r="E206" s="78">
        <f>$B206-$D206</f>
        <v/>
      </c>
    </row>
    <row r="207">
      <c r="A207" s="37" t="inlineStr">
        <is>
          <t>Jun 11</t>
        </is>
      </c>
      <c r="B207" s="76" t="n">
        <v>10</v>
      </c>
      <c r="C207" s="77" t="n">
        <v>431.61</v>
      </c>
      <c r="D207" s="78">
        <f>$C$100*100</f>
        <v/>
      </c>
      <c r="E207" s="78">
        <f>$B207-$D207</f>
        <v/>
      </c>
    </row>
    <row r="208">
      <c r="A208" s="37" t="inlineStr">
        <is>
          <t>Jun 12</t>
        </is>
      </c>
      <c r="B208" s="76" t="n">
        <v>9</v>
      </c>
      <c r="C208" s="77" t="n">
        <v>892.55</v>
      </c>
      <c r="D208" s="78">
        <f>$C$100*100</f>
        <v/>
      </c>
      <c r="E208" s="78">
        <f>$B208-$D208</f>
        <v/>
      </c>
    </row>
    <row r="209">
      <c r="A209" s="37" t="inlineStr">
        <is>
          <t>Jun 13</t>
        </is>
      </c>
      <c r="B209" s="76" t="n">
        <v>7.000000000000001</v>
      </c>
      <c r="C209" s="77" t="n">
        <v>759.46</v>
      </c>
      <c r="D209" s="78">
        <f>$C$100*100</f>
        <v/>
      </c>
      <c r="E209" s="78">
        <f>$B209-$D209</f>
        <v/>
      </c>
    </row>
    <row r="210">
      <c r="A210" s="37" t="inlineStr">
        <is>
          <t>Jun 14</t>
        </is>
      </c>
      <c r="B210" s="76" t="n">
        <v>8</v>
      </c>
      <c r="C210" s="77" t="n">
        <v>512.99</v>
      </c>
      <c r="D210" s="78">
        <f>$C$100*100</f>
        <v/>
      </c>
      <c r="E210" s="78">
        <f>$B210-$D210</f>
        <v/>
      </c>
    </row>
    <row r="211">
      <c r="A211" s="37" t="inlineStr">
        <is>
          <t>Jun 15</t>
        </is>
      </c>
      <c r="B211" s="76" t="n">
        <v>8</v>
      </c>
      <c r="C211" s="77" t="n">
        <v>400.01</v>
      </c>
      <c r="D211" s="78">
        <f>$C$100*100</f>
        <v/>
      </c>
      <c r="E211" s="78">
        <f>$B211-$D211</f>
        <v/>
      </c>
    </row>
    <row r="212">
      <c r="A212" s="37" t="inlineStr">
        <is>
          <t>Jun 16</t>
        </is>
      </c>
      <c r="B212" s="76" t="n">
        <v>6</v>
      </c>
      <c r="C212" s="77" t="n">
        <v>1659.22</v>
      </c>
      <c r="D212" s="78">
        <f>$C$100*100</f>
        <v/>
      </c>
      <c r="E212" s="78">
        <f>$B212-$D212</f>
        <v/>
      </c>
    </row>
    <row r="213">
      <c r="A213" s="37" t="inlineStr">
        <is>
          <t>Jun 17</t>
        </is>
      </c>
      <c r="B213" s="76" t="n">
        <v>6</v>
      </c>
      <c r="C213" s="77" t="n">
        <v>1167.58</v>
      </c>
      <c r="D213" s="78">
        <f>$C$100*100</f>
        <v/>
      </c>
      <c r="E213" s="78">
        <f>$B213-$D213</f>
        <v/>
      </c>
    </row>
    <row r="214">
      <c r="A214" s="37" t="inlineStr">
        <is>
          <t>Jun 18</t>
        </is>
      </c>
      <c r="B214" s="76" t="n">
        <v>3</v>
      </c>
      <c r="C214" s="77" t="n">
        <v>428.88</v>
      </c>
      <c r="D214" s="78">
        <f>$C$100*100</f>
        <v/>
      </c>
      <c r="E214" s="78">
        <f>$B214-$D214</f>
        <v/>
      </c>
    </row>
    <row r="215">
      <c r="A215" s="37" t="inlineStr">
        <is>
          <t>Jun 19</t>
        </is>
      </c>
      <c r="B215" s="76" t="n">
        <v>4</v>
      </c>
      <c r="C215" s="77" t="n">
        <v>982.83</v>
      </c>
      <c r="D215" s="78">
        <f>$C$100*100</f>
        <v/>
      </c>
      <c r="E215" s="78">
        <f>$B215-$D215</f>
        <v/>
      </c>
    </row>
    <row r="216">
      <c r="A216" s="37" t="inlineStr">
        <is>
          <t>Jun 20</t>
        </is>
      </c>
      <c r="B216" s="76" t="n">
        <v>4</v>
      </c>
      <c r="C216" s="77" t="n">
        <v>721.8200000000001</v>
      </c>
      <c r="D216" s="78">
        <f>$C$100*100</f>
        <v/>
      </c>
      <c r="E216" s="78">
        <f>$B216-$D216</f>
        <v/>
      </c>
    </row>
    <row r="217">
      <c r="A217" s="37" t="inlineStr">
        <is>
          <t>Jun 21</t>
        </is>
      </c>
      <c r="B217" s="76" t="n">
        <v>5</v>
      </c>
      <c r="C217" s="77" t="n">
        <v>748.13</v>
      </c>
      <c r="D217" s="78">
        <f>$C$100*100</f>
        <v/>
      </c>
      <c r="E217" s="78">
        <f>$B217-$D217</f>
        <v/>
      </c>
    </row>
    <row r="218">
      <c r="A218" s="37" t="inlineStr">
        <is>
          <t>Jun 22</t>
        </is>
      </c>
      <c r="B218" s="76" t="n">
        <v>3</v>
      </c>
      <c r="C218" s="77" t="n">
        <v>1069.21</v>
      </c>
      <c r="D218" s="78">
        <f>$C$100*100</f>
        <v/>
      </c>
      <c r="E218" s="78">
        <f>$B218-$D218</f>
        <v/>
      </c>
    </row>
    <row r="219">
      <c r="A219" s="37" t="inlineStr">
        <is>
          <t>Jun 23</t>
        </is>
      </c>
      <c r="B219" s="76" t="n">
        <v>3</v>
      </c>
      <c r="C219" s="77" t="n">
        <v>236.95</v>
      </c>
      <c r="D219" s="78">
        <f>$C$100*100</f>
        <v/>
      </c>
      <c r="E219" s="78">
        <f>$B219-$D219</f>
        <v/>
      </c>
    </row>
    <row r="220">
      <c r="A220" s="37" t="inlineStr">
        <is>
          <t>Jun 24</t>
        </is>
      </c>
      <c r="B220" s="76" t="n">
        <v>5</v>
      </c>
      <c r="C220" s="77" t="n">
        <v>774.95</v>
      </c>
      <c r="D220" s="78">
        <f>$C$100*100</f>
        <v/>
      </c>
      <c r="E220" s="78">
        <f>$B220-$D220</f>
        <v/>
      </c>
    </row>
    <row r="221">
      <c r="A221" s="37" t="inlineStr">
        <is>
          <t>Jun 25</t>
        </is>
      </c>
      <c r="B221" s="76" t="n">
        <v>1</v>
      </c>
      <c r="C221" s="77" t="n">
        <v>1464.24</v>
      </c>
      <c r="D221" s="78">
        <f>$C$100*100</f>
        <v/>
      </c>
      <c r="E221" s="78">
        <f>$B221-$D221</f>
        <v/>
      </c>
    </row>
    <row r="222">
      <c r="A222" s="37" t="inlineStr">
        <is>
          <t>Jun 26</t>
        </is>
      </c>
      <c r="B222" s="76" t="n">
        <v>4</v>
      </c>
      <c r="C222" s="77" t="n">
        <v>1797.72</v>
      </c>
      <c r="D222" s="78">
        <f>$C$100*100</f>
        <v/>
      </c>
      <c r="E222" s="78">
        <f>$B222-$D222</f>
        <v/>
      </c>
    </row>
    <row r="223">
      <c r="A223" s="37" t="inlineStr">
        <is>
          <t>Jun 27</t>
        </is>
      </c>
      <c r="B223" s="76" t="n">
        <v>5</v>
      </c>
      <c r="C223" s="77" t="n">
        <v>2166.13</v>
      </c>
      <c r="D223" s="78">
        <f>$C$100*100</f>
        <v/>
      </c>
      <c r="E223" s="78">
        <f>$B223-$D223</f>
        <v/>
      </c>
    </row>
    <row r="224">
      <c r="A224" s="37" t="inlineStr">
        <is>
          <t>Jun 28</t>
        </is>
      </c>
      <c r="B224" s="76" t="n">
        <v>5</v>
      </c>
      <c r="C224" s="77" t="n">
        <v>836.5599999999999</v>
      </c>
      <c r="D224" s="78">
        <f>$C$100*100</f>
        <v/>
      </c>
      <c r="E224" s="78">
        <f>$B224-$D224</f>
        <v/>
      </c>
    </row>
    <row r="225">
      <c r="A225" s="37" t="inlineStr">
        <is>
          <t>Jun 29</t>
        </is>
      </c>
      <c r="B225" s="76" t="n">
        <v>6</v>
      </c>
      <c r="C225" s="77" t="n">
        <v>4397.78</v>
      </c>
      <c r="D225" s="78">
        <f>$C$100*100</f>
        <v/>
      </c>
      <c r="E225" s="78">
        <f>$B225-$D225</f>
        <v/>
      </c>
    </row>
    <row r="226">
      <c r="A226" s="37" t="inlineStr">
        <is>
          <t>Jun 30</t>
        </is>
      </c>
      <c r="B226" s="76" t="n">
        <v>3</v>
      </c>
      <c r="C226" s="77" t="n">
        <v>1818.51</v>
      </c>
      <c r="D226" s="78">
        <f>$C$100*100</f>
        <v/>
      </c>
      <c r="E226" s="78">
        <f>$B226-$D226</f>
        <v/>
      </c>
    </row>
    <row r="227">
      <c r="A227" s="37" t="inlineStr">
        <is>
          <t>Jul 01</t>
        </is>
      </c>
      <c r="B227" s="76" t="n">
        <v>3</v>
      </c>
      <c r="C227" s="77" t="n">
        <v>3601.23</v>
      </c>
      <c r="D227" s="78">
        <f>$C$100*100</f>
        <v/>
      </c>
      <c r="E227" s="78">
        <f>$B227-$D227</f>
        <v/>
      </c>
    </row>
    <row r="228">
      <c r="A228" s="37" t="inlineStr">
        <is>
          <t>Jul 02</t>
        </is>
      </c>
      <c r="B228" s="76" t="n">
        <v>6</v>
      </c>
      <c r="C228" s="77" t="n">
        <v>9645.98</v>
      </c>
      <c r="D228" s="78">
        <f>$C$100*100</f>
        <v/>
      </c>
      <c r="E228" s="78">
        <f>$B228-$D228</f>
        <v/>
      </c>
    </row>
    <row r="229">
      <c r="A229" s="37" t="inlineStr">
        <is>
          <t>Jul 03</t>
        </is>
      </c>
      <c r="B229" s="76" t="n">
        <v>9</v>
      </c>
      <c r="C229" s="77" t="n">
        <v>11630.15</v>
      </c>
      <c r="D229" s="78">
        <f>$C$100*100</f>
        <v/>
      </c>
      <c r="E229" s="78">
        <f>$B229-$D229</f>
        <v/>
      </c>
    </row>
    <row r="230">
      <c r="A230" s="37" t="inlineStr">
        <is>
          <t>Jul 04</t>
        </is>
      </c>
      <c r="B230" s="76" t="n">
        <v>8</v>
      </c>
      <c r="C230" s="77" t="n">
        <v>7321.56</v>
      </c>
      <c r="D230" s="78">
        <f>$C$100*100</f>
        <v/>
      </c>
      <c r="E230" s="78">
        <f>$B230-$D230</f>
        <v/>
      </c>
    </row>
    <row r="231">
      <c r="A231" s="37" t="inlineStr">
        <is>
          <t>Jul 05</t>
        </is>
      </c>
      <c r="B231" s="76" t="n">
        <v>10</v>
      </c>
      <c r="C231" s="77" t="n">
        <v>5582.72</v>
      </c>
      <c r="D231" s="78">
        <f>$C$100*100</f>
        <v/>
      </c>
      <c r="E231" s="78">
        <f>$B231-$D231</f>
        <v/>
      </c>
    </row>
    <row r="232">
      <c r="A232" s="37" t="inlineStr">
        <is>
          <t>Jul 06</t>
        </is>
      </c>
      <c r="B232" s="76" t="n">
        <v>12</v>
      </c>
      <c r="C232" s="77" t="n">
        <v>17193.83</v>
      </c>
      <c r="D232" s="78">
        <f>$C$100*100</f>
        <v/>
      </c>
      <c r="E232" s="78">
        <f>$B232-$D232</f>
        <v/>
      </c>
    </row>
    <row r="233">
      <c r="A233" s="37" t="inlineStr">
        <is>
          <t>Jul 07</t>
        </is>
      </c>
      <c r="B233" s="76" t="n">
        <v>12</v>
      </c>
      <c r="C233" s="77" t="n">
        <v>11573.87</v>
      </c>
      <c r="D233" s="78">
        <f>$C$100*100</f>
        <v/>
      </c>
      <c r="E233" s="78">
        <f>$B233-$D233</f>
        <v/>
      </c>
    </row>
    <row r="234">
      <c r="A234" s="37" t="inlineStr">
        <is>
          <t>Jul 08</t>
        </is>
      </c>
      <c r="B234" s="76" t="n">
        <v>8</v>
      </c>
      <c r="C234" s="77" t="n">
        <v>17405.81</v>
      </c>
      <c r="D234" s="78">
        <f>$C$100*100</f>
        <v/>
      </c>
      <c r="E234" s="78">
        <f>$B234-$D234</f>
        <v/>
      </c>
    </row>
    <row r="235">
      <c r="A235" s="37" t="inlineStr">
        <is>
          <t>Jul 09</t>
        </is>
      </c>
      <c r="B235" s="76" t="n">
        <v>8</v>
      </c>
      <c r="C235" s="77" t="n">
        <v>8335.139999999999</v>
      </c>
      <c r="D235" s="78">
        <f>$C$100*100</f>
        <v/>
      </c>
      <c r="E235" s="78">
        <f>$B235-$D235</f>
        <v/>
      </c>
    </row>
    <row r="236">
      <c r="A236" s="37" t="inlineStr">
        <is>
          <t>Jul 10</t>
        </is>
      </c>
      <c r="B236" s="76" t="n">
        <v>1</v>
      </c>
      <c r="C236" s="77" t="n">
        <v>21443.82</v>
      </c>
      <c r="D236" s="78">
        <f>$C$100*100</f>
        <v/>
      </c>
      <c r="E236" s="78">
        <f>$B236-$D236</f>
        <v/>
      </c>
    </row>
    <row r="237">
      <c r="A237" s="37" t="inlineStr">
        <is>
          <t>Jul 11</t>
        </is>
      </c>
      <c r="B237" s="76" t="n">
        <v>1</v>
      </c>
      <c r="C237" s="77" t="n">
        <v>2381.12</v>
      </c>
      <c r="D237" s="78">
        <f>$C$100*100</f>
        <v/>
      </c>
      <c r="E237" s="78">
        <f>$B237-$D237</f>
        <v/>
      </c>
    </row>
    <row r="238">
      <c r="A238" s="18" t="inlineStr">
        <is>
          <t>Premium = what the market charged for the lottery ticket above the model's fair value. It stayed positive nearly the whole month — that persistent premium IS the edge this strategy harvests.</t>
        </is>
      </c>
    </row>
    <row r="240" ht="19" customHeight="1">
      <c r="A240" s="11" t="inlineStr">
        <is>
          <t>BLOCK 7 — CALIBRATION AUDIT TRAIL: June history 1990–2025 (every constant in Block 1 regresses from THIS table)</t>
        </is>
      </c>
    </row>
    <row r="241">
      <c r="A241" s="18" t="inlineStr">
        <is>
          <t>Sources: ERA5 daily global-mean anomaly (Copernicus Climate Pulse, 1991–2020 base) · NOAA NCEI CaG June land+ocean (1901–2000 base), live vintage retrieved 2026-07-25.</t>
        </is>
      </c>
    </row>
    <row r="242">
      <c r="A242" s="75" t="inlineStr">
        <is>
          <t>Year</t>
        </is>
      </c>
      <c r="B242" s="75" t="inlineStr">
        <is>
          <t>ERA5 Jun mean</t>
        </is>
      </c>
      <c r="C242" s="75" t="inlineStr">
        <is>
          <t>NOAA Jun</t>
        </is>
      </c>
      <c r="D242" s="75" t="inlineStr">
        <is>
          <t>ERA5 May mean</t>
        </is>
      </c>
      <c r="E242" s="75" t="inlineStr">
        <is>
          <t>May(k2)</t>
        </is>
      </c>
      <c r="F242" s="75" t="inlineStr">
        <is>
          <t>Jun first-2</t>
        </is>
      </c>
      <c r="G242" s="75" t="inlineStr">
        <is>
          <t>May(k5)</t>
        </is>
      </c>
      <c r="H242" s="75" t="inlineStr">
        <is>
          <t>Jun first-5</t>
        </is>
      </c>
      <c r="I242" s="75" t="inlineStr">
        <is>
          <t>May(k10)</t>
        </is>
      </c>
      <c r="J242" s="75" t="inlineStr">
        <is>
          <t>Jun first-10</t>
        </is>
      </c>
      <c r="K242" s="75" t="inlineStr">
        <is>
          <t>May(k15)</t>
        </is>
      </c>
      <c r="L242" s="75" t="inlineStr">
        <is>
          <t>Jun first-15</t>
        </is>
      </c>
      <c r="M242" s="75" t="inlineStr">
        <is>
          <t>May(k20)</t>
        </is>
      </c>
      <c r="N242" s="75" t="inlineStr">
        <is>
          <t>Jun first-20</t>
        </is>
      </c>
      <c r="O242" s="75" t="inlineStr">
        <is>
          <t>May(k25)</t>
        </is>
      </c>
      <c r="P242" s="75" t="inlineStr">
        <is>
          <t>Jun first-25</t>
        </is>
      </c>
      <c r="Q242" s="75" t="inlineStr">
        <is>
          <t>May(k30)</t>
        </is>
      </c>
      <c r="R242" s="75" t="inlineStr">
        <is>
          <t>Jun first-30</t>
        </is>
      </c>
    </row>
    <row r="243">
      <c r="A243" s="79" t="n">
        <v>1990</v>
      </c>
      <c r="B243" s="80" t="n">
        <v>-0.1834</v>
      </c>
      <c r="C243" s="81" t="n">
        <v>0.36</v>
      </c>
      <c r="D243" s="80" t="n">
        <v>-0.0216</v>
      </c>
      <c r="E243" s="80" t="n">
        <v>-0.0216</v>
      </c>
      <c r="F243" s="80" t="n">
        <v>-0.195</v>
      </c>
      <c r="G243" s="80" t="n">
        <v>-0.0216</v>
      </c>
      <c r="H243" s="80" t="n">
        <v>-0.154</v>
      </c>
      <c r="I243" s="80" t="n">
        <v>-0.0216</v>
      </c>
      <c r="J243" s="80" t="n">
        <v>-0.1515</v>
      </c>
      <c r="K243" s="80" t="n">
        <v>-0.0216</v>
      </c>
      <c r="L243" s="80" t="n">
        <v>-0.163</v>
      </c>
      <c r="M243" s="80" t="n">
        <v>-0.0216</v>
      </c>
      <c r="N243" s="80" t="n">
        <v>-0.1588</v>
      </c>
      <c r="O243" s="80" t="n">
        <v>-0.0216</v>
      </c>
      <c r="P243" s="80" t="n">
        <v>-0.1779</v>
      </c>
      <c r="Q243" s="80" t="n">
        <v>-0.0216</v>
      </c>
      <c r="R243" s="80" t="n">
        <v>-0.1834</v>
      </c>
    </row>
    <row r="244">
      <c r="A244" s="79" t="n">
        <v>1991</v>
      </c>
      <c r="B244" s="80" t="n">
        <v>0.0289</v>
      </c>
      <c r="C244" s="81" t="n">
        <v>0.53</v>
      </c>
      <c r="D244" s="80" t="n">
        <v>-0.1817</v>
      </c>
      <c r="E244" s="80" t="n">
        <v>-0.1817</v>
      </c>
      <c r="F244" s="80" t="n">
        <v>0.047</v>
      </c>
      <c r="G244" s="80" t="n">
        <v>-0.1817</v>
      </c>
      <c r="H244" s="80" t="n">
        <v>0.045</v>
      </c>
      <c r="I244" s="80" t="n">
        <v>-0.1817</v>
      </c>
      <c r="J244" s="80" t="n">
        <v>-0.0128</v>
      </c>
      <c r="K244" s="80" t="n">
        <v>-0.1817</v>
      </c>
      <c r="L244" s="80" t="n">
        <v>-0.0267</v>
      </c>
      <c r="M244" s="80" t="n">
        <v>-0.1817</v>
      </c>
      <c r="N244" s="80" t="n">
        <v>0.0089</v>
      </c>
      <c r="O244" s="80" t="n">
        <v>-0.1817</v>
      </c>
      <c r="P244" s="80" t="n">
        <v>0.0127</v>
      </c>
      <c r="Q244" s="80" t="n">
        <v>-0.1817</v>
      </c>
      <c r="R244" s="80" t="n">
        <v>0.0289</v>
      </c>
    </row>
    <row r="245">
      <c r="A245" s="79" t="n">
        <v>1992</v>
      </c>
      <c r="B245" s="80" t="n">
        <v>-0.3217</v>
      </c>
      <c r="C245" s="81" t="n">
        <v>0.28</v>
      </c>
      <c r="D245" s="80" t="n">
        <v>-0.3435</v>
      </c>
      <c r="E245" s="80" t="n">
        <v>-0.3435</v>
      </c>
      <c r="F245" s="80" t="n">
        <v>-0.333</v>
      </c>
      <c r="G245" s="80" t="n">
        <v>-0.3435</v>
      </c>
      <c r="H245" s="80" t="n">
        <v>-0.3912</v>
      </c>
      <c r="I245" s="80" t="n">
        <v>-0.3435</v>
      </c>
      <c r="J245" s="80" t="n">
        <v>-0.4157</v>
      </c>
      <c r="K245" s="80" t="n">
        <v>-0.3435</v>
      </c>
      <c r="L245" s="80" t="n">
        <v>-0.3843</v>
      </c>
      <c r="M245" s="80" t="n">
        <v>-0.3435</v>
      </c>
      <c r="N245" s="80" t="n">
        <v>-0.3303</v>
      </c>
      <c r="O245" s="80" t="n">
        <v>-0.3435</v>
      </c>
      <c r="P245" s="80" t="n">
        <v>-0.3138</v>
      </c>
      <c r="Q245" s="80" t="n">
        <v>-0.3435</v>
      </c>
      <c r="R245" s="80" t="n">
        <v>-0.3217</v>
      </c>
    </row>
    <row r="246">
      <c r="A246" s="79" t="n">
        <v>1993</v>
      </c>
      <c r="B246" s="80" t="n">
        <v>-0.3015</v>
      </c>
      <c r="C246" s="81" t="n">
        <v>0.28</v>
      </c>
      <c r="D246" s="80" t="n">
        <v>-0.3002</v>
      </c>
      <c r="E246" s="80" t="n">
        <v>-0.3002</v>
      </c>
      <c r="F246" s="80" t="n">
        <v>-0.1915</v>
      </c>
      <c r="G246" s="80" t="n">
        <v>-0.3002</v>
      </c>
      <c r="H246" s="80" t="n">
        <v>-0.1724</v>
      </c>
      <c r="I246" s="80" t="n">
        <v>-0.3002</v>
      </c>
      <c r="J246" s="80" t="n">
        <v>-0.1949</v>
      </c>
      <c r="K246" s="80" t="n">
        <v>-0.3002</v>
      </c>
      <c r="L246" s="80" t="n">
        <v>-0.2329</v>
      </c>
      <c r="M246" s="80" t="n">
        <v>-0.3002</v>
      </c>
      <c r="N246" s="80" t="n">
        <v>-0.2451</v>
      </c>
      <c r="O246" s="80" t="n">
        <v>-0.3002</v>
      </c>
      <c r="P246" s="80" t="n">
        <v>-0.2894</v>
      </c>
      <c r="Q246" s="80" t="n">
        <v>-0.3002</v>
      </c>
      <c r="R246" s="80" t="n">
        <v>-0.3015</v>
      </c>
    </row>
    <row r="247">
      <c r="A247" s="79" t="n">
        <v>1994</v>
      </c>
      <c r="B247" s="80" t="n">
        <v>-0.253</v>
      </c>
      <c r="C247" s="81" t="n">
        <v>0.4</v>
      </c>
      <c r="D247" s="80" t="n">
        <v>-0.3535</v>
      </c>
      <c r="E247" s="80" t="n">
        <v>-0.3535</v>
      </c>
      <c r="F247" s="80" t="n">
        <v>-0.205</v>
      </c>
      <c r="G247" s="80" t="n">
        <v>-0.3535</v>
      </c>
      <c r="H247" s="80" t="n">
        <v>-0.1754</v>
      </c>
      <c r="I247" s="80" t="n">
        <v>-0.3535</v>
      </c>
      <c r="J247" s="80" t="n">
        <v>-0.2248</v>
      </c>
      <c r="K247" s="80" t="n">
        <v>-0.3535</v>
      </c>
      <c r="L247" s="80" t="n">
        <v>-0.2478</v>
      </c>
      <c r="M247" s="80" t="n">
        <v>-0.3535</v>
      </c>
      <c r="N247" s="80" t="n">
        <v>-0.2406</v>
      </c>
      <c r="O247" s="80" t="n">
        <v>-0.3535</v>
      </c>
      <c r="P247" s="80" t="n">
        <v>-0.2391</v>
      </c>
      <c r="Q247" s="80" t="n">
        <v>-0.3535</v>
      </c>
      <c r="R247" s="80" t="n">
        <v>-0.253</v>
      </c>
    </row>
    <row r="248">
      <c r="A248" s="79" t="n">
        <v>1995</v>
      </c>
      <c r="B248" s="80" t="n">
        <v>-0.08500000000000001</v>
      </c>
      <c r="C248" s="81" t="n">
        <v>0.46</v>
      </c>
      <c r="D248" s="80" t="n">
        <v>-0.2401</v>
      </c>
      <c r="E248" s="80" t="n">
        <v>-0.2401</v>
      </c>
      <c r="F248" s="80" t="n">
        <v>-0.1905</v>
      </c>
      <c r="G248" s="80" t="n">
        <v>-0.2401</v>
      </c>
      <c r="H248" s="80" t="n">
        <v>-0.1378</v>
      </c>
      <c r="I248" s="80" t="n">
        <v>-0.2401</v>
      </c>
      <c r="J248" s="80" t="n">
        <v>-0.099</v>
      </c>
      <c r="K248" s="80" t="n">
        <v>-0.2401</v>
      </c>
      <c r="L248" s="80" t="n">
        <v>-0.0377</v>
      </c>
      <c r="M248" s="80" t="n">
        <v>-0.2401</v>
      </c>
      <c r="N248" s="80" t="n">
        <v>-0.0583</v>
      </c>
      <c r="O248" s="80" t="n">
        <v>-0.2401</v>
      </c>
      <c r="P248" s="80" t="n">
        <v>-0.0823</v>
      </c>
      <c r="Q248" s="80" t="n">
        <v>-0.2401</v>
      </c>
      <c r="R248" s="80" t="n">
        <v>-0.08500000000000001</v>
      </c>
    </row>
    <row r="249">
      <c r="A249" s="79" t="n">
        <v>1996</v>
      </c>
      <c r="B249" s="80" t="n">
        <v>-0.3148</v>
      </c>
      <c r="C249" s="81" t="n">
        <v>0.28</v>
      </c>
      <c r="D249" s="80" t="n">
        <v>-0.3721</v>
      </c>
      <c r="E249" s="80" t="n">
        <v>-0.3721</v>
      </c>
      <c r="F249" s="80" t="n">
        <v>-0.47</v>
      </c>
      <c r="G249" s="80" t="n">
        <v>-0.3721</v>
      </c>
      <c r="H249" s="80" t="n">
        <v>-0.4336</v>
      </c>
      <c r="I249" s="80" t="n">
        <v>-0.3721</v>
      </c>
      <c r="J249" s="80" t="n">
        <v>-0.3683</v>
      </c>
      <c r="K249" s="80" t="n">
        <v>-0.3721</v>
      </c>
      <c r="L249" s="80" t="n">
        <v>-0.3273</v>
      </c>
      <c r="M249" s="80" t="n">
        <v>-0.3721</v>
      </c>
      <c r="N249" s="80" t="n">
        <v>-0.3226</v>
      </c>
      <c r="O249" s="80" t="n">
        <v>-0.3721</v>
      </c>
      <c r="P249" s="80" t="n">
        <v>-0.3342</v>
      </c>
      <c r="Q249" s="80" t="n">
        <v>-0.3721</v>
      </c>
      <c r="R249" s="80" t="n">
        <v>-0.3148</v>
      </c>
    </row>
    <row r="250">
      <c r="A250" s="79" t="n">
        <v>1997</v>
      </c>
      <c r="B250" s="80" t="n">
        <v>-0.079</v>
      </c>
      <c r="C250" s="81" t="n">
        <v>0.57</v>
      </c>
      <c r="D250" s="80" t="n">
        <v>-0.2575</v>
      </c>
      <c r="E250" s="80" t="n">
        <v>-0.2575</v>
      </c>
      <c r="F250" s="80" t="n">
        <v>-0.2095</v>
      </c>
      <c r="G250" s="80" t="n">
        <v>-0.2575</v>
      </c>
      <c r="H250" s="80" t="n">
        <v>-0.1322</v>
      </c>
      <c r="I250" s="80" t="n">
        <v>-0.2575</v>
      </c>
      <c r="J250" s="80" t="n">
        <v>-0.1107</v>
      </c>
      <c r="K250" s="80" t="n">
        <v>-0.2575</v>
      </c>
      <c r="L250" s="80" t="n">
        <v>-0.1126</v>
      </c>
      <c r="M250" s="80" t="n">
        <v>-0.2575</v>
      </c>
      <c r="N250" s="80" t="n">
        <v>-0.0985</v>
      </c>
      <c r="O250" s="80" t="n">
        <v>-0.2575</v>
      </c>
      <c r="P250" s="80" t="n">
        <v>-0.0593</v>
      </c>
      <c r="Q250" s="80" t="n">
        <v>-0.2575</v>
      </c>
      <c r="R250" s="80" t="n">
        <v>-0.079</v>
      </c>
    </row>
    <row r="251">
      <c r="A251" s="79" t="n">
        <v>1998</v>
      </c>
      <c r="B251" s="80" t="n">
        <v>0.1843</v>
      </c>
      <c r="C251" s="81" t="n">
        <v>0.7</v>
      </c>
      <c r="D251" s="80" t="n">
        <v>0.1733</v>
      </c>
      <c r="E251" s="80" t="n">
        <v>0.1733</v>
      </c>
      <c r="F251" s="80" t="n">
        <v>0.272</v>
      </c>
      <c r="G251" s="80" t="n">
        <v>0.1733</v>
      </c>
      <c r="H251" s="80" t="n">
        <v>0.2332</v>
      </c>
      <c r="I251" s="80" t="n">
        <v>0.1733</v>
      </c>
      <c r="J251" s="80" t="n">
        <v>0.2429</v>
      </c>
      <c r="K251" s="80" t="n">
        <v>0.1733</v>
      </c>
      <c r="L251" s="80" t="n">
        <v>0.2663</v>
      </c>
      <c r="M251" s="80" t="n">
        <v>0.1733</v>
      </c>
      <c r="N251" s="80" t="n">
        <v>0.2493</v>
      </c>
      <c r="O251" s="80" t="n">
        <v>0.1733</v>
      </c>
      <c r="P251" s="80" t="n">
        <v>0.206</v>
      </c>
      <c r="Q251" s="80" t="n">
        <v>0.1733</v>
      </c>
      <c r="R251" s="80" t="n">
        <v>0.1843</v>
      </c>
    </row>
    <row r="252">
      <c r="A252" s="79" t="n">
        <v>1999</v>
      </c>
      <c r="B252" s="80" t="n">
        <v>-0.2311</v>
      </c>
      <c r="C252" s="81" t="n">
        <v>0.4</v>
      </c>
      <c r="D252" s="80" t="n">
        <v>-0.3022</v>
      </c>
      <c r="E252" s="80" t="n">
        <v>-0.3022</v>
      </c>
      <c r="F252" s="80" t="n">
        <v>-0.2155</v>
      </c>
      <c r="G252" s="80" t="n">
        <v>-0.3022</v>
      </c>
      <c r="H252" s="80" t="n">
        <v>-0.164</v>
      </c>
      <c r="I252" s="80" t="n">
        <v>-0.3022</v>
      </c>
      <c r="J252" s="80" t="n">
        <v>-0.155</v>
      </c>
      <c r="K252" s="80" t="n">
        <v>-0.3022</v>
      </c>
      <c r="L252" s="80" t="n">
        <v>-0.2125</v>
      </c>
      <c r="M252" s="80" t="n">
        <v>-0.3022</v>
      </c>
      <c r="N252" s="80" t="n">
        <v>-0.1943</v>
      </c>
      <c r="O252" s="80" t="n">
        <v>-0.3022</v>
      </c>
      <c r="P252" s="80" t="n">
        <v>-0.2064</v>
      </c>
      <c r="Q252" s="80" t="n">
        <v>-0.3022</v>
      </c>
      <c r="R252" s="80" t="n">
        <v>-0.2311</v>
      </c>
    </row>
    <row r="253">
      <c r="A253" s="79" t="n">
        <v>2000</v>
      </c>
      <c r="B253" s="80" t="n">
        <v>-0.2429</v>
      </c>
      <c r="C253" s="81" t="n">
        <v>0.4</v>
      </c>
      <c r="D253" s="80" t="n">
        <v>-0.2256</v>
      </c>
      <c r="E253" s="80" t="n">
        <v>-0.2256</v>
      </c>
      <c r="F253" s="80" t="n">
        <v>-0.1575</v>
      </c>
      <c r="G253" s="80" t="n">
        <v>-0.2256</v>
      </c>
      <c r="H253" s="80" t="n">
        <v>-0.0912</v>
      </c>
      <c r="I253" s="80" t="n">
        <v>-0.2256</v>
      </c>
      <c r="J253" s="80" t="n">
        <v>-0.1322</v>
      </c>
      <c r="K253" s="80" t="n">
        <v>-0.2256</v>
      </c>
      <c r="L253" s="80" t="n">
        <v>-0.1803</v>
      </c>
      <c r="M253" s="80" t="n">
        <v>-0.2256</v>
      </c>
      <c r="N253" s="80" t="n">
        <v>-0.2151</v>
      </c>
      <c r="O253" s="80" t="n">
        <v>-0.2256</v>
      </c>
      <c r="P253" s="80" t="n">
        <v>-0.2288</v>
      </c>
      <c r="Q253" s="80" t="n">
        <v>-0.2256</v>
      </c>
      <c r="R253" s="80" t="n">
        <v>-0.2429</v>
      </c>
    </row>
    <row r="254">
      <c r="A254" s="79" t="n">
        <v>2001</v>
      </c>
      <c r="B254" s="80" t="n">
        <v>-0.1099</v>
      </c>
      <c r="C254" s="81" t="n">
        <v>0.53</v>
      </c>
      <c r="D254" s="80" t="n">
        <v>-0.0508</v>
      </c>
      <c r="E254" s="80" t="n">
        <v>-0.0508</v>
      </c>
      <c r="F254" s="80" t="n">
        <v>-0.0895</v>
      </c>
      <c r="G254" s="80" t="n">
        <v>-0.0508</v>
      </c>
      <c r="H254" s="80" t="n">
        <v>-0.0622</v>
      </c>
      <c r="I254" s="80" t="n">
        <v>-0.0508</v>
      </c>
      <c r="J254" s="80" t="n">
        <v>-0.0418</v>
      </c>
      <c r="K254" s="80" t="n">
        <v>-0.0508</v>
      </c>
      <c r="L254" s="80" t="n">
        <v>-0.05</v>
      </c>
      <c r="M254" s="80" t="n">
        <v>-0.0508</v>
      </c>
      <c r="N254" s="80" t="n">
        <v>-0.1058</v>
      </c>
      <c r="O254" s="80" t="n">
        <v>-0.0508</v>
      </c>
      <c r="P254" s="80" t="n">
        <v>-0.1274</v>
      </c>
      <c r="Q254" s="80" t="n">
        <v>-0.0508</v>
      </c>
      <c r="R254" s="80" t="n">
        <v>-0.1099</v>
      </c>
    </row>
    <row r="255">
      <c r="A255" s="79" t="n">
        <v>2002</v>
      </c>
      <c r="B255" s="80" t="n">
        <v>0.0242</v>
      </c>
      <c r="C255" s="81" t="n">
        <v>0.55</v>
      </c>
      <c r="D255" s="80" t="n">
        <v>0.075</v>
      </c>
      <c r="E255" s="80" t="n">
        <v>0.075</v>
      </c>
      <c r="F255" s="80" t="n">
        <v>0.2055</v>
      </c>
      <c r="G255" s="80" t="n">
        <v>0.075</v>
      </c>
      <c r="H255" s="80" t="n">
        <v>0.1284</v>
      </c>
      <c r="I255" s="80" t="n">
        <v>0.075</v>
      </c>
      <c r="J255" s="80" t="n">
        <v>0.0629</v>
      </c>
      <c r="K255" s="80" t="n">
        <v>0.075</v>
      </c>
      <c r="L255" s="80" t="n">
        <v>0.0197</v>
      </c>
      <c r="M255" s="80" t="n">
        <v>0.075</v>
      </c>
      <c r="N255" s="80" t="n">
        <v>0.0231</v>
      </c>
      <c r="O255" s="80" t="n">
        <v>0.075</v>
      </c>
      <c r="P255" s="80" t="n">
        <v>0.0246</v>
      </c>
      <c r="Q255" s="80" t="n">
        <v>0.075</v>
      </c>
      <c r="R255" s="80" t="n">
        <v>0.0242</v>
      </c>
    </row>
    <row r="256">
      <c r="A256" s="79" t="n">
        <v>2003</v>
      </c>
      <c r="B256" s="80" t="n">
        <v>-0.1377</v>
      </c>
      <c r="C256" s="81" t="n">
        <v>0.47</v>
      </c>
      <c r="D256" s="80" t="n">
        <v>-0.0187</v>
      </c>
      <c r="E256" s="80" t="n">
        <v>-0.0187</v>
      </c>
      <c r="F256" s="80" t="n">
        <v>0.033</v>
      </c>
      <c r="G256" s="80" t="n">
        <v>-0.0187</v>
      </c>
      <c r="H256" s="80" t="n">
        <v>-0.0276</v>
      </c>
      <c r="I256" s="80" t="n">
        <v>-0.0187</v>
      </c>
      <c r="J256" s="80" t="n">
        <v>-0.1026</v>
      </c>
      <c r="K256" s="80" t="n">
        <v>-0.0187</v>
      </c>
      <c r="L256" s="80" t="n">
        <v>-0.1193</v>
      </c>
      <c r="M256" s="80" t="n">
        <v>-0.0187</v>
      </c>
      <c r="N256" s="80" t="n">
        <v>-0.1176</v>
      </c>
      <c r="O256" s="80" t="n">
        <v>-0.0187</v>
      </c>
      <c r="P256" s="80" t="n">
        <v>-0.125</v>
      </c>
      <c r="Q256" s="80" t="n">
        <v>-0.0187</v>
      </c>
      <c r="R256" s="80" t="n">
        <v>-0.1377</v>
      </c>
    </row>
    <row r="257">
      <c r="A257" s="79" t="n">
        <v>2004</v>
      </c>
      <c r="B257" s="80" t="n">
        <v>-0.09229999999999999</v>
      </c>
      <c r="C257" s="81" t="n">
        <v>0.41</v>
      </c>
      <c r="D257" s="80" t="n">
        <v>-0.2153</v>
      </c>
      <c r="E257" s="80" t="n">
        <v>-0.2153</v>
      </c>
      <c r="F257" s="80" t="n">
        <v>-0.204</v>
      </c>
      <c r="G257" s="80" t="n">
        <v>-0.2153</v>
      </c>
      <c r="H257" s="80" t="n">
        <v>-0.1714</v>
      </c>
      <c r="I257" s="80" t="n">
        <v>-0.2153</v>
      </c>
      <c r="J257" s="80" t="n">
        <v>-0.114</v>
      </c>
      <c r="K257" s="80" t="n">
        <v>-0.2153</v>
      </c>
      <c r="L257" s="80" t="n">
        <v>-0.1417</v>
      </c>
      <c r="M257" s="80" t="n">
        <v>-0.2153</v>
      </c>
      <c r="N257" s="80" t="n">
        <v>-0.1282</v>
      </c>
      <c r="O257" s="80" t="n">
        <v>-0.2153</v>
      </c>
      <c r="P257" s="80" t="n">
        <v>-0.0992</v>
      </c>
      <c r="Q257" s="80" t="n">
        <v>-0.2153</v>
      </c>
      <c r="R257" s="80" t="n">
        <v>-0.09229999999999999</v>
      </c>
    </row>
    <row r="258">
      <c r="A258" s="79" t="n">
        <v>2005</v>
      </c>
      <c r="B258" s="80" t="n">
        <v>0.0775</v>
      </c>
      <c r="C258" s="81" t="n">
        <v>0.64</v>
      </c>
      <c r="D258" s="80" t="n">
        <v>0.0646</v>
      </c>
      <c r="E258" s="80" t="n">
        <v>0.0646</v>
      </c>
      <c r="F258" s="80" t="n">
        <v>0.078</v>
      </c>
      <c r="G258" s="80" t="n">
        <v>0.0646</v>
      </c>
      <c r="H258" s="80" t="n">
        <v>0.1042</v>
      </c>
      <c r="I258" s="80" t="n">
        <v>0.0646</v>
      </c>
      <c r="J258" s="80" t="n">
        <v>0.1062</v>
      </c>
      <c r="K258" s="80" t="n">
        <v>0.0646</v>
      </c>
      <c r="L258" s="80" t="n">
        <v>0.1166</v>
      </c>
      <c r="M258" s="80" t="n">
        <v>0.0646</v>
      </c>
      <c r="N258" s="80" t="n">
        <v>0.1073</v>
      </c>
      <c r="O258" s="80" t="n">
        <v>0.0646</v>
      </c>
      <c r="P258" s="80" t="n">
        <v>0.0862</v>
      </c>
      <c r="Q258" s="80" t="n">
        <v>0.0646</v>
      </c>
      <c r="R258" s="80" t="n">
        <v>0.0775</v>
      </c>
    </row>
    <row r="259">
      <c r="A259" s="79" t="n">
        <v>2006</v>
      </c>
      <c r="B259" s="80" t="n">
        <v>0.0822</v>
      </c>
      <c r="C259" s="81" t="n">
        <v>0.62</v>
      </c>
      <c r="D259" s="80" t="n">
        <v>-0.0766</v>
      </c>
      <c r="E259" s="80" t="n">
        <v>-0.0766</v>
      </c>
      <c r="F259" s="80" t="n">
        <v>0.156</v>
      </c>
      <c r="G259" s="80" t="n">
        <v>-0.0766</v>
      </c>
      <c r="H259" s="80" t="n">
        <v>0.1396</v>
      </c>
      <c r="I259" s="80" t="n">
        <v>-0.0766</v>
      </c>
      <c r="J259" s="80" t="n">
        <v>0.1061</v>
      </c>
      <c r="K259" s="80" t="n">
        <v>-0.0766</v>
      </c>
      <c r="L259" s="80" t="n">
        <v>0.1189</v>
      </c>
      <c r="M259" s="80" t="n">
        <v>-0.0766</v>
      </c>
      <c r="N259" s="80" t="n">
        <v>0.1056</v>
      </c>
      <c r="O259" s="80" t="n">
        <v>-0.0766</v>
      </c>
      <c r="P259" s="80" t="n">
        <v>0.0927</v>
      </c>
      <c r="Q259" s="80" t="n">
        <v>-0.0766</v>
      </c>
      <c r="R259" s="80" t="n">
        <v>0.0822</v>
      </c>
    </row>
    <row r="260">
      <c r="A260" s="79" t="n">
        <v>2007</v>
      </c>
      <c r="B260" s="80" t="n">
        <v>-0.0227</v>
      </c>
      <c r="C260" s="81" t="n">
        <v>0.57</v>
      </c>
      <c r="D260" s="80" t="n">
        <v>0.0789</v>
      </c>
      <c r="E260" s="80" t="n">
        <v>0.0789</v>
      </c>
      <c r="F260" s="80" t="n">
        <v>-0.0195</v>
      </c>
      <c r="G260" s="80" t="n">
        <v>0.0789</v>
      </c>
      <c r="H260" s="80" t="n">
        <v>-0.0514</v>
      </c>
      <c r="I260" s="80" t="n">
        <v>0.0789</v>
      </c>
      <c r="J260" s="80" t="n">
        <v>-0.0264</v>
      </c>
      <c r="K260" s="80" t="n">
        <v>0.0789</v>
      </c>
      <c r="L260" s="80" t="n">
        <v>-0.0014</v>
      </c>
      <c r="M260" s="80" t="n">
        <v>0.0789</v>
      </c>
      <c r="N260" s="80" t="n">
        <v>-0.0249</v>
      </c>
      <c r="O260" s="80" t="n">
        <v>0.0789</v>
      </c>
      <c r="P260" s="80" t="n">
        <v>-0.0195</v>
      </c>
      <c r="Q260" s="80" t="n">
        <v>0.0789</v>
      </c>
      <c r="R260" s="80" t="n">
        <v>-0.0227</v>
      </c>
    </row>
    <row r="261">
      <c r="A261" s="79" t="n">
        <v>2008</v>
      </c>
      <c r="B261" s="80" t="n">
        <v>-0.1973</v>
      </c>
      <c r="C261" s="81" t="n">
        <v>0.46</v>
      </c>
      <c r="D261" s="80" t="n">
        <v>-0.11</v>
      </c>
      <c r="E261" s="80" t="n">
        <v>-0.11</v>
      </c>
      <c r="F261" s="80" t="n">
        <v>-0.2045</v>
      </c>
      <c r="G261" s="80" t="n">
        <v>-0.11</v>
      </c>
      <c r="H261" s="80" t="n">
        <v>-0.2038</v>
      </c>
      <c r="I261" s="80" t="n">
        <v>-0.11</v>
      </c>
      <c r="J261" s="80" t="n">
        <v>-0.1757</v>
      </c>
      <c r="K261" s="80" t="n">
        <v>-0.11</v>
      </c>
      <c r="L261" s="80" t="n">
        <v>-0.1775</v>
      </c>
      <c r="M261" s="80" t="n">
        <v>-0.11</v>
      </c>
      <c r="N261" s="80" t="n">
        <v>-0.206</v>
      </c>
      <c r="O261" s="80" t="n">
        <v>-0.11</v>
      </c>
      <c r="P261" s="80" t="n">
        <v>-0.227</v>
      </c>
      <c r="Q261" s="80" t="n">
        <v>-0.11</v>
      </c>
      <c r="R261" s="80" t="n">
        <v>-0.1973</v>
      </c>
    </row>
    <row r="262">
      <c r="A262" s="79" t="n">
        <v>2009</v>
      </c>
      <c r="B262" s="80" t="n">
        <v>0.0054</v>
      </c>
      <c r="C262" s="81" t="n">
        <v>0.67</v>
      </c>
      <c r="D262" s="80" t="n">
        <v>-0.008999999999999999</v>
      </c>
      <c r="E262" s="80" t="n">
        <v>-0.008999999999999999</v>
      </c>
      <c r="F262" s="80" t="n">
        <v>0.0795</v>
      </c>
      <c r="G262" s="80" t="n">
        <v>-0.008999999999999999</v>
      </c>
      <c r="H262" s="80" t="n">
        <v>0.044</v>
      </c>
      <c r="I262" s="80" t="n">
        <v>-0.008999999999999999</v>
      </c>
      <c r="J262" s="80" t="n">
        <v>-0.0646</v>
      </c>
      <c r="K262" s="80" t="n">
        <v>-0.008999999999999999</v>
      </c>
      <c r="L262" s="80" t="n">
        <v>-0.0595</v>
      </c>
      <c r="M262" s="80" t="n">
        <v>-0.008999999999999999</v>
      </c>
      <c r="N262" s="80" t="n">
        <v>-0.0524</v>
      </c>
      <c r="O262" s="80" t="n">
        <v>-0.008999999999999999</v>
      </c>
      <c r="P262" s="80" t="n">
        <v>-0.0279</v>
      </c>
      <c r="Q262" s="80" t="n">
        <v>-0.008999999999999999</v>
      </c>
      <c r="R262" s="80" t="n">
        <v>0.0054</v>
      </c>
    </row>
    <row r="263">
      <c r="A263" s="79" t="n">
        <v>2010</v>
      </c>
      <c r="B263" s="80" t="n">
        <v>0.0876</v>
      </c>
      <c r="C263" s="81" t="n">
        <v>0.68</v>
      </c>
      <c r="D263" s="80" t="n">
        <v>0.1933</v>
      </c>
      <c r="E263" s="80" t="n">
        <v>0.1933</v>
      </c>
      <c r="F263" s="80" t="n">
        <v>0.0295</v>
      </c>
      <c r="G263" s="80" t="n">
        <v>0.1933</v>
      </c>
      <c r="H263" s="80" t="n">
        <v>0.08799999999999999</v>
      </c>
      <c r="I263" s="80" t="n">
        <v>0.1933</v>
      </c>
      <c r="J263" s="80" t="n">
        <v>0.0665</v>
      </c>
      <c r="K263" s="80" t="n">
        <v>0.1933</v>
      </c>
      <c r="L263" s="80" t="n">
        <v>0.0781</v>
      </c>
      <c r="M263" s="80" t="n">
        <v>0.1933</v>
      </c>
      <c r="N263" s="80" t="n">
        <v>0.0814</v>
      </c>
      <c r="O263" s="80" t="n">
        <v>0.1933</v>
      </c>
      <c r="P263" s="80" t="n">
        <v>0.0863</v>
      </c>
      <c r="Q263" s="80" t="n">
        <v>0.1933</v>
      </c>
      <c r="R263" s="80" t="n">
        <v>0.0876</v>
      </c>
    </row>
    <row r="264">
      <c r="A264" s="79" t="n">
        <v>2011</v>
      </c>
      <c r="B264" s="80" t="n">
        <v>0.0214</v>
      </c>
      <c r="C264" s="81" t="n">
        <v>0.6</v>
      </c>
      <c r="D264" s="80" t="n">
        <v>-0.0468</v>
      </c>
      <c r="E264" s="80" t="n">
        <v>-0.0468</v>
      </c>
      <c r="F264" s="80" t="n">
        <v>0.018</v>
      </c>
      <c r="G264" s="80" t="n">
        <v>-0.0468</v>
      </c>
      <c r="H264" s="80" t="n">
        <v>0.0418</v>
      </c>
      <c r="I264" s="80" t="n">
        <v>-0.0468</v>
      </c>
      <c r="J264" s="80" t="n">
        <v>0.1001</v>
      </c>
      <c r="K264" s="80" t="n">
        <v>-0.0468</v>
      </c>
      <c r="L264" s="80" t="n">
        <v>0.063</v>
      </c>
      <c r="M264" s="80" t="n">
        <v>-0.0468</v>
      </c>
      <c r="N264" s="80" t="n">
        <v>0.0589</v>
      </c>
      <c r="O264" s="80" t="n">
        <v>-0.0468</v>
      </c>
      <c r="P264" s="80" t="n">
        <v>0.047</v>
      </c>
      <c r="Q264" s="80" t="n">
        <v>-0.0468</v>
      </c>
      <c r="R264" s="80" t="n">
        <v>0.0214</v>
      </c>
    </row>
    <row r="265">
      <c r="A265" s="79" t="n">
        <v>2012</v>
      </c>
      <c r="B265" s="80" t="n">
        <v>0.1205</v>
      </c>
      <c r="C265" s="81" t="n">
        <v>0.68</v>
      </c>
      <c r="D265" s="80" t="n">
        <v>0.1685</v>
      </c>
      <c r="E265" s="80" t="n">
        <v>0.1685</v>
      </c>
      <c r="F265" s="80" t="n">
        <v>0.2085</v>
      </c>
      <c r="G265" s="80" t="n">
        <v>0.1685</v>
      </c>
      <c r="H265" s="80" t="n">
        <v>0.1366</v>
      </c>
      <c r="I265" s="80" t="n">
        <v>0.1685</v>
      </c>
      <c r="J265" s="80" t="n">
        <v>0.0393</v>
      </c>
      <c r="K265" s="80" t="n">
        <v>0.1685</v>
      </c>
      <c r="L265" s="80" t="n">
        <v>0.0862</v>
      </c>
      <c r="M265" s="80" t="n">
        <v>0.1685</v>
      </c>
      <c r="N265" s="80" t="n">
        <v>0.1252</v>
      </c>
      <c r="O265" s="80" t="n">
        <v>0.1685</v>
      </c>
      <c r="P265" s="80" t="n">
        <v>0.1124</v>
      </c>
      <c r="Q265" s="80" t="n">
        <v>0.1685</v>
      </c>
      <c r="R265" s="80" t="n">
        <v>0.1205</v>
      </c>
    </row>
    <row r="266">
      <c r="A266" s="79" t="n">
        <v>2013</v>
      </c>
      <c r="B266" s="80" t="n">
        <v>0.1084</v>
      </c>
      <c r="C266" s="81" t="n">
        <v>0.7</v>
      </c>
      <c r="D266" s="80" t="n">
        <v>0.0164</v>
      </c>
      <c r="E266" s="80" t="n">
        <v>0.0164</v>
      </c>
      <c r="F266" s="80" t="n">
        <v>0.0505</v>
      </c>
      <c r="G266" s="80" t="n">
        <v>0.0164</v>
      </c>
      <c r="H266" s="80" t="n">
        <v>-0.0202</v>
      </c>
      <c r="I266" s="80" t="n">
        <v>0.0164</v>
      </c>
      <c r="J266" s="80" t="n">
        <v>-0.0153</v>
      </c>
      <c r="K266" s="80" t="n">
        <v>0.0164</v>
      </c>
      <c r="L266" s="80" t="n">
        <v>0.0528</v>
      </c>
      <c r="M266" s="80" t="n">
        <v>0.0164</v>
      </c>
      <c r="N266" s="80" t="n">
        <v>0.0525</v>
      </c>
      <c r="O266" s="80" t="n">
        <v>0.0164</v>
      </c>
      <c r="P266" s="80" t="n">
        <v>0.08939999999999999</v>
      </c>
      <c r="Q266" s="80" t="n">
        <v>0.0164</v>
      </c>
      <c r="R266" s="80" t="n">
        <v>0.1084</v>
      </c>
    </row>
    <row r="267">
      <c r="A267" s="79" t="n">
        <v>2014</v>
      </c>
      <c r="B267" s="80" t="n">
        <v>0.0732</v>
      </c>
      <c r="C267" s="81" t="n">
        <v>0.71</v>
      </c>
      <c r="D267" s="80" t="n">
        <v>0.1783</v>
      </c>
      <c r="E267" s="80" t="n">
        <v>0.1783</v>
      </c>
      <c r="F267" s="80" t="n">
        <v>0.141</v>
      </c>
      <c r="G267" s="80" t="n">
        <v>0.1783</v>
      </c>
      <c r="H267" s="80" t="n">
        <v>0.1044</v>
      </c>
      <c r="I267" s="80" t="n">
        <v>0.1783</v>
      </c>
      <c r="J267" s="80" t="n">
        <v>0.1069</v>
      </c>
      <c r="K267" s="80" t="n">
        <v>0.1783</v>
      </c>
      <c r="L267" s="80" t="n">
        <v>0.0878</v>
      </c>
      <c r="M267" s="80" t="n">
        <v>0.1783</v>
      </c>
      <c r="N267" s="80" t="n">
        <v>0.0834</v>
      </c>
      <c r="O267" s="80" t="n">
        <v>0.1783</v>
      </c>
      <c r="P267" s="80" t="n">
        <v>0.0892</v>
      </c>
      <c r="Q267" s="80" t="n">
        <v>0.1783</v>
      </c>
      <c r="R267" s="80" t="n">
        <v>0.0732</v>
      </c>
    </row>
    <row r="268">
      <c r="A268" s="79" t="n">
        <v>2015</v>
      </c>
      <c r="B268" s="80" t="n">
        <v>0.1873</v>
      </c>
      <c r="C268" s="81" t="n">
        <v>0.83</v>
      </c>
      <c r="D268" s="80" t="n">
        <v>0.1717</v>
      </c>
      <c r="E268" s="80" t="n">
        <v>0.1717</v>
      </c>
      <c r="F268" s="80" t="n">
        <v>0.237</v>
      </c>
      <c r="G268" s="80" t="n">
        <v>0.1717</v>
      </c>
      <c r="H268" s="80" t="n">
        <v>0.3088</v>
      </c>
      <c r="I268" s="80" t="n">
        <v>0.1717</v>
      </c>
      <c r="J268" s="80" t="n">
        <v>0.3012</v>
      </c>
      <c r="K268" s="80" t="n">
        <v>0.1717</v>
      </c>
      <c r="L268" s="80" t="n">
        <v>0.2559</v>
      </c>
      <c r="M268" s="80" t="n">
        <v>0.1717</v>
      </c>
      <c r="N268" s="80" t="n">
        <v>0.1923</v>
      </c>
      <c r="O268" s="80" t="n">
        <v>0.1717</v>
      </c>
      <c r="P268" s="80" t="n">
        <v>0.1846</v>
      </c>
      <c r="Q268" s="80" t="n">
        <v>0.1717</v>
      </c>
      <c r="R268" s="80" t="n">
        <v>0.1873</v>
      </c>
    </row>
    <row r="269">
      <c r="A269" s="79" t="n">
        <v>2016</v>
      </c>
      <c r="B269" s="80" t="n">
        <v>0.2623</v>
      </c>
      <c r="C269" s="81" t="n">
        <v>0.82</v>
      </c>
      <c r="D269" s="80" t="n">
        <v>0.4103</v>
      </c>
      <c r="E269" s="80" t="n">
        <v>0.4103</v>
      </c>
      <c r="F269" s="80" t="n">
        <v>0.322</v>
      </c>
      <c r="G269" s="80" t="n">
        <v>0.4103</v>
      </c>
      <c r="H269" s="80" t="n">
        <v>0.357</v>
      </c>
      <c r="I269" s="80" t="n">
        <v>0.4103</v>
      </c>
      <c r="J269" s="80" t="n">
        <v>0.3283</v>
      </c>
      <c r="K269" s="80" t="n">
        <v>0.4103</v>
      </c>
      <c r="L269" s="80" t="n">
        <v>0.2762</v>
      </c>
      <c r="M269" s="80" t="n">
        <v>0.4103</v>
      </c>
      <c r="N269" s="80" t="n">
        <v>0.263</v>
      </c>
      <c r="O269" s="80" t="n">
        <v>0.4103</v>
      </c>
      <c r="P269" s="80" t="n">
        <v>0.2535</v>
      </c>
      <c r="Q269" s="80" t="n">
        <v>0.4103</v>
      </c>
      <c r="R269" s="80" t="n">
        <v>0.2623</v>
      </c>
    </row>
    <row r="270">
      <c r="A270" s="79" t="n">
        <v>2017</v>
      </c>
      <c r="B270" s="80" t="n">
        <v>0.2028</v>
      </c>
      <c r="C270" s="81" t="n">
        <v>0.77</v>
      </c>
      <c r="D270" s="80" t="n">
        <v>0.3675</v>
      </c>
      <c r="E270" s="80" t="n">
        <v>0.3675</v>
      </c>
      <c r="F270" s="80" t="n">
        <v>0.301</v>
      </c>
      <c r="G270" s="80" t="n">
        <v>0.3675</v>
      </c>
      <c r="H270" s="80" t="n">
        <v>0.2744</v>
      </c>
      <c r="I270" s="80" t="n">
        <v>0.3675</v>
      </c>
      <c r="J270" s="80" t="n">
        <v>0.2198</v>
      </c>
      <c r="K270" s="80" t="n">
        <v>0.3675</v>
      </c>
      <c r="L270" s="80" t="n">
        <v>0.2098</v>
      </c>
      <c r="M270" s="80" t="n">
        <v>0.3675</v>
      </c>
      <c r="N270" s="80" t="n">
        <v>0.2122</v>
      </c>
      <c r="O270" s="80" t="n">
        <v>0.3675</v>
      </c>
      <c r="P270" s="80" t="n">
        <v>0.2071</v>
      </c>
      <c r="Q270" s="80" t="n">
        <v>0.3675</v>
      </c>
      <c r="R270" s="80" t="n">
        <v>0.2028</v>
      </c>
    </row>
    <row r="271">
      <c r="A271" s="79" t="n">
        <v>2018</v>
      </c>
      <c r="B271" s="80" t="n">
        <v>0.226</v>
      </c>
      <c r="C271" s="81" t="n">
        <v>0.8</v>
      </c>
      <c r="D271" s="80" t="n">
        <v>0.2468</v>
      </c>
      <c r="E271" s="80" t="n">
        <v>0.2468</v>
      </c>
      <c r="F271" s="80" t="n">
        <v>0.12</v>
      </c>
      <c r="G271" s="80" t="n">
        <v>0.2468</v>
      </c>
      <c r="H271" s="80" t="n">
        <v>0.1286</v>
      </c>
      <c r="I271" s="80" t="n">
        <v>0.2468</v>
      </c>
      <c r="J271" s="80" t="n">
        <v>0.2246</v>
      </c>
      <c r="K271" s="80" t="n">
        <v>0.2468</v>
      </c>
      <c r="L271" s="80" t="n">
        <v>0.2121</v>
      </c>
      <c r="M271" s="80" t="n">
        <v>0.2468</v>
      </c>
      <c r="N271" s="80" t="n">
        <v>0.2212</v>
      </c>
      <c r="O271" s="80" t="n">
        <v>0.2468</v>
      </c>
      <c r="P271" s="80" t="n">
        <v>0.2319</v>
      </c>
      <c r="Q271" s="80" t="n">
        <v>0.2468</v>
      </c>
      <c r="R271" s="80" t="n">
        <v>0.226</v>
      </c>
    </row>
    <row r="272">
      <c r="A272" s="79" t="n">
        <v>2019</v>
      </c>
      <c r="B272" s="80" t="n">
        <v>0.3697</v>
      </c>
      <c r="C272" s="81" t="n">
        <v>0.92</v>
      </c>
      <c r="D272" s="80" t="n">
        <v>0.3518</v>
      </c>
      <c r="E272" s="80" t="n">
        <v>0.3518</v>
      </c>
      <c r="F272" s="80" t="n">
        <v>0.3445</v>
      </c>
      <c r="G272" s="80" t="n">
        <v>0.3518</v>
      </c>
      <c r="H272" s="80" t="n">
        <v>0.3192</v>
      </c>
      <c r="I272" s="80" t="n">
        <v>0.3518</v>
      </c>
      <c r="J272" s="80" t="n">
        <v>0.3535</v>
      </c>
      <c r="K272" s="80" t="n">
        <v>0.3518</v>
      </c>
      <c r="L272" s="80" t="n">
        <v>0.3697</v>
      </c>
      <c r="M272" s="80" t="n">
        <v>0.3518</v>
      </c>
      <c r="N272" s="80" t="n">
        <v>0.3522</v>
      </c>
      <c r="O272" s="80" t="n">
        <v>0.3518</v>
      </c>
      <c r="P272" s="80" t="n">
        <v>0.3458</v>
      </c>
      <c r="Q272" s="80" t="n">
        <v>0.3518</v>
      </c>
      <c r="R272" s="80" t="n">
        <v>0.3697</v>
      </c>
    </row>
    <row r="273">
      <c r="A273" s="79" t="n">
        <v>2020</v>
      </c>
      <c r="B273" s="80" t="n">
        <v>0.3612</v>
      </c>
      <c r="C273" s="81" t="n">
        <v>0.9399999999999999</v>
      </c>
      <c r="D273" s="80" t="n">
        <v>0.461</v>
      </c>
      <c r="E273" s="80" t="n">
        <v>0.461</v>
      </c>
      <c r="F273" s="80" t="n">
        <v>0.4575</v>
      </c>
      <c r="G273" s="80" t="n">
        <v>0.461</v>
      </c>
      <c r="H273" s="80" t="n">
        <v>0.4172</v>
      </c>
      <c r="I273" s="80" t="n">
        <v>0.461</v>
      </c>
      <c r="J273" s="80" t="n">
        <v>0.3484</v>
      </c>
      <c r="K273" s="80" t="n">
        <v>0.461</v>
      </c>
      <c r="L273" s="80" t="n">
        <v>0.3221</v>
      </c>
      <c r="M273" s="80" t="n">
        <v>0.461</v>
      </c>
      <c r="N273" s="80" t="n">
        <v>0.3388</v>
      </c>
      <c r="O273" s="80" t="n">
        <v>0.461</v>
      </c>
      <c r="P273" s="80" t="n">
        <v>0.361</v>
      </c>
      <c r="Q273" s="80" t="n">
        <v>0.461</v>
      </c>
      <c r="R273" s="80" t="n">
        <v>0.3612</v>
      </c>
    </row>
    <row r="274">
      <c r="A274" s="79" t="n">
        <v>2021</v>
      </c>
      <c r="B274" s="80" t="n">
        <v>0.2136</v>
      </c>
      <c r="C274" s="81" t="n">
        <v>0.84</v>
      </c>
      <c r="D274" s="80" t="n">
        <v>0.2524</v>
      </c>
      <c r="E274" s="80" t="n">
        <v>0.2524</v>
      </c>
      <c r="F274" s="80" t="n">
        <v>0.4335</v>
      </c>
      <c r="G274" s="80" t="n">
        <v>0.2524</v>
      </c>
      <c r="H274" s="80" t="n">
        <v>0.4092</v>
      </c>
      <c r="I274" s="80" t="n">
        <v>0.2524</v>
      </c>
      <c r="J274" s="80" t="n">
        <v>0.2739</v>
      </c>
      <c r="K274" s="80" t="n">
        <v>0.2524</v>
      </c>
      <c r="L274" s="80" t="n">
        <v>0.2223</v>
      </c>
      <c r="M274" s="80" t="n">
        <v>0.2524</v>
      </c>
      <c r="N274" s="80" t="n">
        <v>0.2087</v>
      </c>
      <c r="O274" s="80" t="n">
        <v>0.2524</v>
      </c>
      <c r="P274" s="80" t="n">
        <v>0.2026</v>
      </c>
      <c r="Q274" s="80" t="n">
        <v>0.2524</v>
      </c>
      <c r="R274" s="80" t="n">
        <v>0.2136</v>
      </c>
    </row>
    <row r="275">
      <c r="A275" s="79" t="n">
        <v>2022</v>
      </c>
      <c r="B275" s="80" t="n">
        <v>0.3089</v>
      </c>
      <c r="C275" s="81" t="n">
        <v>0.92</v>
      </c>
      <c r="D275" s="80" t="n">
        <v>0.2508</v>
      </c>
      <c r="E275" s="80" t="n">
        <v>0.2508</v>
      </c>
      <c r="F275" s="80" t="n">
        <v>0.252</v>
      </c>
      <c r="G275" s="80" t="n">
        <v>0.2508</v>
      </c>
      <c r="H275" s="80" t="n">
        <v>0.2308</v>
      </c>
      <c r="I275" s="80" t="n">
        <v>0.2508</v>
      </c>
      <c r="J275" s="80" t="n">
        <v>0.306</v>
      </c>
      <c r="K275" s="80" t="n">
        <v>0.2508</v>
      </c>
      <c r="L275" s="80" t="n">
        <v>0.326</v>
      </c>
      <c r="M275" s="80" t="n">
        <v>0.2508</v>
      </c>
      <c r="N275" s="80" t="n">
        <v>0.3226</v>
      </c>
      <c r="O275" s="80" t="n">
        <v>0.2508</v>
      </c>
      <c r="P275" s="80" t="n">
        <v>0.3277</v>
      </c>
      <c r="Q275" s="80" t="n">
        <v>0.2508</v>
      </c>
      <c r="R275" s="80" t="n">
        <v>0.3089</v>
      </c>
    </row>
    <row r="276">
      <c r="A276" s="79" t="n">
        <v>2023</v>
      </c>
      <c r="B276" s="80" t="n">
        <v>0.532</v>
      </c>
      <c r="C276" s="81" t="n">
        <v>1.07</v>
      </c>
      <c r="D276" s="80" t="n">
        <v>0.3904</v>
      </c>
      <c r="E276" s="80" t="n">
        <v>0.3904</v>
      </c>
      <c r="F276" s="80" t="n">
        <v>0.483</v>
      </c>
      <c r="G276" s="80" t="n">
        <v>0.3904</v>
      </c>
      <c r="H276" s="80" t="n">
        <v>0.5042</v>
      </c>
      <c r="I276" s="80" t="n">
        <v>0.3904</v>
      </c>
      <c r="J276" s="80" t="n">
        <v>0.6107</v>
      </c>
      <c r="K276" s="80" t="n">
        <v>0.3904</v>
      </c>
      <c r="L276" s="80" t="n">
        <v>0.591</v>
      </c>
      <c r="M276" s="80" t="n">
        <v>0.3904</v>
      </c>
      <c r="N276" s="80" t="n">
        <v>0.5543</v>
      </c>
      <c r="O276" s="80" t="n">
        <v>0.3904</v>
      </c>
      <c r="P276" s="80" t="n">
        <v>0.5366</v>
      </c>
      <c r="Q276" s="80" t="n">
        <v>0.3904</v>
      </c>
      <c r="R276" s="80" t="n">
        <v>0.532</v>
      </c>
    </row>
    <row r="277">
      <c r="A277" s="79" t="n">
        <v>2024</v>
      </c>
      <c r="B277" s="80" t="n">
        <v>0.6753</v>
      </c>
      <c r="C277" s="81" t="n">
        <v>1.18</v>
      </c>
      <c r="D277" s="80" t="n">
        <v>0.6469</v>
      </c>
      <c r="E277" s="80" t="n">
        <v>0.6469</v>
      </c>
      <c r="F277" s="80" t="n">
        <v>0.8355</v>
      </c>
      <c r="G277" s="80" t="n">
        <v>0.6469</v>
      </c>
      <c r="H277" s="80" t="n">
        <v>0.7628</v>
      </c>
      <c r="I277" s="80" t="n">
        <v>0.6469</v>
      </c>
      <c r="J277" s="80" t="n">
        <v>0.727</v>
      </c>
      <c r="K277" s="80" t="n">
        <v>0.6469</v>
      </c>
      <c r="L277" s="80" t="n">
        <v>0.7487</v>
      </c>
      <c r="M277" s="80" t="n">
        <v>0.6469</v>
      </c>
      <c r="N277" s="80" t="n">
        <v>0.722</v>
      </c>
      <c r="O277" s="80" t="n">
        <v>0.6469</v>
      </c>
      <c r="P277" s="80" t="n">
        <v>0.6879</v>
      </c>
      <c r="Q277" s="80" t="n">
        <v>0.6469</v>
      </c>
      <c r="R277" s="80" t="n">
        <v>0.6753</v>
      </c>
    </row>
    <row r="278">
      <c r="A278" s="79" t="n">
        <v>2025</v>
      </c>
      <c r="B278" s="80" t="n">
        <v>0.4751</v>
      </c>
      <c r="C278" s="81" t="n">
        <v>0.96</v>
      </c>
      <c r="D278" s="80" t="n">
        <v>0.5256999999999999</v>
      </c>
      <c r="E278" s="80" t="n">
        <v>0.5256999999999999</v>
      </c>
      <c r="F278" s="80" t="n">
        <v>0.4865</v>
      </c>
      <c r="G278" s="80" t="n">
        <v>0.5256999999999999</v>
      </c>
      <c r="H278" s="80" t="n">
        <v>0.4502</v>
      </c>
      <c r="I278" s="80" t="n">
        <v>0.5256999999999999</v>
      </c>
      <c r="J278" s="80" t="n">
        <v>0.4367</v>
      </c>
      <c r="K278" s="80" t="n">
        <v>0.5256999999999999</v>
      </c>
      <c r="L278" s="80" t="n">
        <v>0.4762</v>
      </c>
      <c r="M278" s="80" t="n">
        <v>0.5256999999999999</v>
      </c>
      <c r="N278" s="80" t="n">
        <v>0.4843</v>
      </c>
      <c r="O278" s="80" t="n">
        <v>0.5256999999999999</v>
      </c>
      <c r="P278" s="80" t="n">
        <v>0.4784</v>
      </c>
      <c r="Q278" s="80" t="n">
        <v>0.5256999999999999</v>
      </c>
      <c r="R278" s="80" t="n">
        <v>0.4751</v>
      </c>
    </row>
    <row r="281" ht="19" customHeight="1">
      <c r="A281" s="11" t="inlineStr">
        <is>
          <t>BLOCK 8 — LEGEND &amp; PROVENANCE</t>
        </is>
      </c>
    </row>
    <row r="282" ht="26" customHeight="1">
      <c r="A282" s="12" t="inlineStr">
        <is>
          <t>Colour code</t>
        </is>
      </c>
      <c r="B282" s="82" t="inlineStr">
        <is>
          <t>GREEN fill = real observed/archived data filled in.  BLUE text = a constant from a cited source.  BLACK = live formula.  YELLOW = a field that had no June data available.</t>
        </is>
      </c>
    </row>
    <row r="283" ht="26" customHeight="1">
      <c r="A283" s="12" t="inlineStr">
        <is>
          <t>What is real here</t>
        </is>
      </c>
      <c r="B283" s="82" t="inlineStr">
        <is>
          <t>All 30 ERA5 daily anomalies · the NOAA June print (1.09) · the archived ECMWF June run · 45 sessions of Kalshi candles · 108 account fills and the $251.16 realised P&amp;L. Nothing is simulated.</t>
        </is>
      </c>
    </row>
    <row r="284" ht="26" customHeight="1">
      <c r="A284" s="12" t="inlineStr">
        <is>
          <t>What is genuinely missing</t>
        </is>
      </c>
      <c r="B284" s="82" t="inlineStr">
        <is>
          <t>Per-run June forecast archives (the local forecast_log only begins 2026-07-09), 51-member June ensembles, and GFS/GEFS June series. Those cells are left blank rather than invented.</t>
        </is>
      </c>
    </row>
    <row r="285" ht="26" customHeight="1">
      <c r="A285" s="12" t="inlineStr">
        <is>
          <t>ECMWF column caveat</t>
        </is>
      </c>
      <c r="B285" s="82" t="inlineStr">
        <is>
          <t>The archived run is short-lead and sampled on a 15° grid, so its error vs ERA5 is dominated by sampling bias (~+0.07 °C warm) and understates true forecast error. Do not read Block 5 as multi-day forecast skill.</t>
        </is>
      </c>
    </row>
    <row r="286" ht="26" customHeight="1">
      <c r="A286" s="12" t="inlineStr">
        <is>
          <t>Market price caveat</t>
        </is>
      </c>
      <c r="B286" s="82" t="inlineStr">
        <is>
          <t>Historical candles carry CLOSE only. Block 4 assumes a zero spread, so its edges are optimistic by roughly the real 1–3¢ spread.</t>
        </is>
      </c>
    </row>
    <row r="287" ht="26" customHeight="1">
      <c r="A287" s="12" t="inlineStr">
        <is>
          <t>Why the ENS tab is degenerate</t>
        </is>
      </c>
      <c r="B287" s="82" t="inlineStr">
        <is>
          <t>With k=30 there are no remaining days to forecast, so every member's full-month estimate equals the realised mean. The member spread collapsing to zero is mathematically correct here, not a placeholder.</t>
        </is>
      </c>
    </row>
    <row r="288" ht="26" customHeight="1">
      <c r="A288" s="12" t="inlineStr">
        <is>
          <t>The headline</t>
        </is>
      </c>
      <c r="B288" s="82" t="inlineStr">
        <is>
          <t>The model predicted 1.0941; NOAA printed 1.09. A −0.004 miss, about a tenth of the translation σ. It said NO with ~98% confidence and NO settled.</t>
        </is>
      </c>
    </row>
  </sheetData>
  <mergeCells count="99">
    <mergeCell ref="E109:O109"/>
    <mergeCell ref="E96:O96"/>
    <mergeCell ref="E129:O129"/>
    <mergeCell ref="E111:O111"/>
    <mergeCell ref="E98:O98"/>
    <mergeCell ref="E181:O181"/>
    <mergeCell ref="E131:O131"/>
    <mergeCell ref="E88:O88"/>
    <mergeCell ref="E180:O180"/>
    <mergeCell ref="A5:O5"/>
    <mergeCell ref="E128:O128"/>
    <mergeCell ref="E173:O173"/>
    <mergeCell ref="A240:R240"/>
    <mergeCell ref="E182:O182"/>
    <mergeCell ref="E105:O105"/>
    <mergeCell ref="E99:O99"/>
    <mergeCell ref="C11:J11"/>
    <mergeCell ref="E166:O166"/>
    <mergeCell ref="E101:O101"/>
    <mergeCell ref="E116:O116"/>
    <mergeCell ref="E168:O168"/>
    <mergeCell ref="E113:O113"/>
    <mergeCell ref="E91:O91"/>
    <mergeCell ref="A82:O82"/>
    <mergeCell ref="E85:O85"/>
    <mergeCell ref="E100:O100"/>
    <mergeCell ref="E136:O136"/>
    <mergeCell ref="C13:J13"/>
    <mergeCell ref="E115:O115"/>
    <mergeCell ref="E93:O93"/>
    <mergeCell ref="E175:O175"/>
    <mergeCell ref="E122:O122"/>
    <mergeCell ref="E127:O127"/>
    <mergeCell ref="E185:O185"/>
    <mergeCell ref="B282:R282"/>
    <mergeCell ref="A2:O2"/>
    <mergeCell ref="C10:J10"/>
    <mergeCell ref="A47:O47"/>
    <mergeCell ref="E87:O87"/>
    <mergeCell ref="E170:O170"/>
    <mergeCell ref="C9:J9"/>
    <mergeCell ref="E90:O90"/>
    <mergeCell ref="M4:O4"/>
    <mergeCell ref="E110:O110"/>
    <mergeCell ref="E119:O119"/>
    <mergeCell ref="E187:O187"/>
    <mergeCell ref="A191:O191"/>
    <mergeCell ref="E174:O174"/>
    <mergeCell ref="B284:R284"/>
    <mergeCell ref="E183:O183"/>
    <mergeCell ref="A281:R281"/>
    <mergeCell ref="A162:O162"/>
    <mergeCell ref="E189:O189"/>
    <mergeCell ref="B286:R286"/>
    <mergeCell ref="E121:O121"/>
    <mergeCell ref="E130:O130"/>
    <mergeCell ref="E117:O117"/>
    <mergeCell ref="E123:O123"/>
    <mergeCell ref="E92:O92"/>
    <mergeCell ref="E132:O132"/>
    <mergeCell ref="E107:O107"/>
    <mergeCell ref="E94:O94"/>
    <mergeCell ref="E84:O84"/>
    <mergeCell ref="E118:O118"/>
    <mergeCell ref="E108:O108"/>
    <mergeCell ref="E186:O186"/>
    <mergeCell ref="E86:O86"/>
    <mergeCell ref="E95:O95"/>
    <mergeCell ref="B283:R283"/>
    <mergeCell ref="E89:O89"/>
    <mergeCell ref="E178:O178"/>
    <mergeCell ref="B288:R288"/>
    <mergeCell ref="C8:J8"/>
    <mergeCell ref="E124:O124"/>
    <mergeCell ref="B285:R285"/>
    <mergeCell ref="E120:O120"/>
    <mergeCell ref="A1:O1"/>
    <mergeCell ref="A103:O103"/>
    <mergeCell ref="E112:O112"/>
    <mergeCell ref="E134:O134"/>
    <mergeCell ref="E164:O164"/>
    <mergeCell ref="E184:O184"/>
    <mergeCell ref="E106:O106"/>
    <mergeCell ref="E165:O165"/>
    <mergeCell ref="E188:O188"/>
    <mergeCell ref="E126:O126"/>
    <mergeCell ref="E83:O83"/>
    <mergeCell ref="E135:O135"/>
    <mergeCell ref="B287:R287"/>
    <mergeCell ref="C12:J12"/>
    <mergeCell ref="E167:O167"/>
    <mergeCell ref="E133:O133"/>
    <mergeCell ref="E169:O169"/>
    <mergeCell ref="E179:O179"/>
    <mergeCell ref="C7:J7"/>
    <mergeCell ref="A138:O138"/>
    <mergeCell ref="E125:O125"/>
    <mergeCell ref="A6:O6"/>
    <mergeCell ref="E97:O97"/>
  </mergeCells>
  <conditionalFormatting sqref="C120">
    <cfRule type="cellIs" priority="1" operator="greaterThanOrEqual" dxfId="0">
      <formula>3</formula>
    </cfRule>
    <cfRule type="cellIs" priority="2" operator="lessThanOrEqual" dxfId="1">
      <formula>-3</formula>
    </cfRule>
  </conditionalFormatting>
  <conditionalFormatting sqref="C121">
    <cfRule type="cellIs" priority="3" operator="greaterThanOrEqual" dxfId="0">
      <formula>3</formula>
    </cfRule>
    <cfRule type="cellIs" priority="4" operator="lessThanOrEqual" dxfId="1">
      <formula>-3</formula>
    </cfRule>
  </conditionalFormatting>
  <conditionalFormatting sqref="C100">
    <cfRule type="cellIs" priority="5" operator="greaterThanOrEqual" dxfId="2">
      <formula>0.35</formula>
    </cfRule>
    <cfRule type="cellIs" priority="6" operator="lessThan" dxfId="3">
      <formula>0.15</formula>
    </cfRule>
  </conditionalFormatting>
  <conditionalFormatting sqref="C97">
    <cfRule type="cellIs" priority="7" operator="greaterThanOrEqual" dxfId="2">
      <formula>0.35</formula>
    </cfRule>
    <cfRule type="cellIs" priority="8" operator="lessThan" dxfId="3">
      <formula>0.15</formula>
    </cfRule>
  </conditionalFormatting>
  <conditionalFormatting sqref="E193:E237">
    <cfRule type="cellIs" priority="9" operator="greaterThan" dxfId="3">
      <formula>0</formula>
    </cfRule>
    <cfRule type="cellIs" priority="10" operator="lessThan" dxfId="2">
      <formula>0</formula>
    </cfRule>
  </conditionalFormatting>
  <conditionalFormatting sqref="C135">
    <cfRule type="expression" priority="11" dxfId="1">
      <formula>ISNUMBER(SEARCH("BREACH",$C$135))</formula>
    </cfRule>
  </conditionalFormatting>
  <conditionalFormatting sqref="C151">
    <cfRule type="expression" priority="12" dxfId="1">
      <formula>ISNUMBER(SEARCH("WARN",$C$151))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12" customWidth="1" min="4" max="4"/>
    <col width="15" customWidth="1" min="5" max="5"/>
    <col width="15" customWidth="1" min="6" max="6"/>
    <col width="12" customWidth="1" min="7" max="7"/>
    <col width="17" customWidth="1" min="8" max="8"/>
  </cols>
  <sheetData>
    <row r="1">
      <c r="A1" s="83" t="inlineStr">
        <is>
          <t>51-MEMBER ENSEMBLE — DEGENERATE (month complete)</t>
        </is>
      </c>
    </row>
    <row r="2">
      <c r="A2" s="84" t="inlineStr">
        <is>
          <t>June is fully observed (k=30). There are no remaining days to forecast, so every member's full-month ERA5 estimate equals the realised mean. The spread collapsing to zero is CORRECT here, not a placeholder.</t>
        </is>
      </c>
    </row>
    <row r="3">
      <c r="A3" s="85" t="inlineStr">
        <is>
          <t>No 51-member June archive exists locally (ens_spread.py output begins with July), and none is needed at k=30.</t>
        </is>
      </c>
    </row>
    <row r="5" ht="30" customHeight="1">
      <c r="A5" s="75" t="inlineStr">
        <is>
          <t>Member #</t>
        </is>
      </c>
      <c r="B5" s="75" t="inlineStr">
        <is>
          <t>Full-Jun ERA5 mean °C</t>
        </is>
      </c>
      <c r="C5" s="75" t="inlineStr">
        <is>
          <t>μ_NOAA</t>
        </is>
      </c>
      <c r="D5" s="75" t="inlineStr">
        <is>
          <t>σ_member</t>
        </is>
      </c>
      <c r="E5" s="75" t="inlineStr">
        <is>
          <t>P(YES) member</t>
        </is>
      </c>
      <c r="F5" s="75" t="inlineStr">
        <is>
          <t>Central breach?</t>
        </is>
      </c>
      <c r="G5" s="75" t="inlineStr">
        <is>
          <t>μ_GISTEMP</t>
        </is>
      </c>
      <c r="H5" s="75" t="inlineStr">
        <is>
          <t>P(YES) GIS member</t>
        </is>
      </c>
    </row>
    <row r="6">
      <c r="A6" s="86" t="n">
        <v>1</v>
      </c>
      <c r="B6" s="87" t="n">
        <v>0.5593</v>
      </c>
      <c r="C6" s="39">
        <f>IF(ISNUMBER($B6),'Jun2026_Settled'!$C$22+'Jun2026_Settled'!$C$23*$B6,"")</f>
        <v/>
      </c>
      <c r="D6" s="88">
        <f>IF(ISNUMBER($B6),IFERROR(SQRT(('Jun2026_Settled'!$C$23*'Jun2026_Settled'!$C$93)^2+'Jun2026_Settled'!$C$24^2),""),"")</f>
        <v/>
      </c>
      <c r="E6" s="89">
        <f>IF(OR($C6="",$D6="",$D6=0),"",1-NORMSDIST(('Jun2026_Settled'!$C$17-$C6)/$D6))</f>
        <v/>
      </c>
      <c r="F6" s="90">
        <f>IF(ISNUMBER($B6),IF($B6&gt;='Jun2026_Settled'!$C$26,1,0),"")</f>
        <v/>
      </c>
      <c r="G6" s="39">
        <f>IF(ISNUMBER($B6),'Jun2026_Settled'!$C$42+'Jun2026_Settled'!$E$42*$B6,"")</f>
        <v/>
      </c>
      <c r="H6" s="89">
        <f>IFERROR(IF(OR($G6="",'Jun2026_Settled'!$C$93=""),"",1-NORMSDIST(('Jun2026_Settled'!$C$41-$G6)/SQRT(('Jun2026_Settled'!$E$42*'Jun2026_Settled'!$C$93)^2+'Jun2026_Settled'!$G$42^2))),"")</f>
        <v/>
      </c>
    </row>
    <row r="7">
      <c r="A7" s="86" t="n">
        <v>2</v>
      </c>
      <c r="B7" s="87" t="n">
        <v>0.5593</v>
      </c>
      <c r="C7" s="39">
        <f>IF(ISNUMBER($B7),'Jun2026_Settled'!$C$22+'Jun2026_Settled'!$C$23*$B7,"")</f>
        <v/>
      </c>
      <c r="D7" s="88">
        <f>IF(ISNUMBER($B7),IFERROR(SQRT(('Jun2026_Settled'!$C$23*'Jun2026_Settled'!$C$93)^2+'Jun2026_Settled'!$C$24^2),""),"")</f>
        <v/>
      </c>
      <c r="E7" s="89">
        <f>IF(OR($C7="",$D7="",$D7=0),"",1-NORMSDIST(('Jun2026_Settled'!$C$17-$C7)/$D7))</f>
        <v/>
      </c>
      <c r="F7" s="90">
        <f>IF(ISNUMBER($B7),IF($B7&gt;='Jun2026_Settled'!$C$26,1,0),"")</f>
        <v/>
      </c>
      <c r="G7" s="39">
        <f>IF(ISNUMBER($B7),'Jun2026_Settled'!$C$42+'Jun2026_Settled'!$E$42*$B7,"")</f>
        <v/>
      </c>
      <c r="H7" s="89">
        <f>IFERROR(IF(OR($G7="",'Jun2026_Settled'!$C$93=""),"",1-NORMSDIST(('Jun2026_Settled'!$C$41-$G7)/SQRT(('Jun2026_Settled'!$E$42*'Jun2026_Settled'!$C$93)^2+'Jun2026_Settled'!$G$42^2))),"")</f>
        <v/>
      </c>
    </row>
    <row r="8">
      <c r="A8" s="86" t="n">
        <v>3</v>
      </c>
      <c r="B8" s="87" t="n">
        <v>0.5593</v>
      </c>
      <c r="C8" s="39">
        <f>IF(ISNUMBER($B8),'Jun2026_Settled'!$C$22+'Jun2026_Settled'!$C$23*$B8,"")</f>
        <v/>
      </c>
      <c r="D8" s="88">
        <f>IF(ISNUMBER($B8),IFERROR(SQRT(('Jun2026_Settled'!$C$23*'Jun2026_Settled'!$C$93)^2+'Jun2026_Settled'!$C$24^2),""),"")</f>
        <v/>
      </c>
      <c r="E8" s="89">
        <f>IF(OR($C8="",$D8="",$D8=0),"",1-NORMSDIST(('Jun2026_Settled'!$C$17-$C8)/$D8))</f>
        <v/>
      </c>
      <c r="F8" s="90">
        <f>IF(ISNUMBER($B8),IF($B8&gt;='Jun2026_Settled'!$C$26,1,0),"")</f>
        <v/>
      </c>
      <c r="G8" s="39">
        <f>IF(ISNUMBER($B8),'Jun2026_Settled'!$C$42+'Jun2026_Settled'!$E$42*$B8,"")</f>
        <v/>
      </c>
      <c r="H8" s="89">
        <f>IFERROR(IF(OR($G8="",'Jun2026_Settled'!$C$93=""),"",1-NORMSDIST(('Jun2026_Settled'!$C$41-$G8)/SQRT(('Jun2026_Settled'!$E$42*'Jun2026_Settled'!$C$93)^2+'Jun2026_Settled'!$G$42^2))),"")</f>
        <v/>
      </c>
    </row>
    <row r="9">
      <c r="A9" s="86" t="n">
        <v>4</v>
      </c>
      <c r="B9" s="87" t="n">
        <v>0.5593</v>
      </c>
      <c r="C9" s="39">
        <f>IF(ISNUMBER($B9),'Jun2026_Settled'!$C$22+'Jun2026_Settled'!$C$23*$B9,"")</f>
        <v/>
      </c>
      <c r="D9" s="88">
        <f>IF(ISNUMBER($B9),IFERROR(SQRT(('Jun2026_Settled'!$C$23*'Jun2026_Settled'!$C$93)^2+'Jun2026_Settled'!$C$24^2),""),"")</f>
        <v/>
      </c>
      <c r="E9" s="89">
        <f>IF(OR($C9="",$D9="",$D9=0),"",1-NORMSDIST(('Jun2026_Settled'!$C$17-$C9)/$D9))</f>
        <v/>
      </c>
      <c r="F9" s="90">
        <f>IF(ISNUMBER($B9),IF($B9&gt;='Jun2026_Settled'!$C$26,1,0),"")</f>
        <v/>
      </c>
      <c r="G9" s="39">
        <f>IF(ISNUMBER($B9),'Jun2026_Settled'!$C$42+'Jun2026_Settled'!$E$42*$B9,"")</f>
        <v/>
      </c>
      <c r="H9" s="89">
        <f>IFERROR(IF(OR($G9="",'Jun2026_Settled'!$C$93=""),"",1-NORMSDIST(('Jun2026_Settled'!$C$41-$G9)/SQRT(('Jun2026_Settled'!$E$42*'Jun2026_Settled'!$C$93)^2+'Jun2026_Settled'!$G$42^2))),"")</f>
        <v/>
      </c>
    </row>
    <row r="10">
      <c r="A10" s="86" t="n">
        <v>5</v>
      </c>
      <c r="B10" s="87" t="n">
        <v>0.5593</v>
      </c>
      <c r="C10" s="39">
        <f>IF(ISNUMBER($B10),'Jun2026_Settled'!$C$22+'Jun2026_Settled'!$C$23*$B10,"")</f>
        <v/>
      </c>
      <c r="D10" s="88">
        <f>IF(ISNUMBER($B10),IFERROR(SQRT(('Jun2026_Settled'!$C$23*'Jun2026_Settled'!$C$93)^2+'Jun2026_Settled'!$C$24^2),""),"")</f>
        <v/>
      </c>
      <c r="E10" s="89">
        <f>IF(OR($C10="",$D10="",$D10=0),"",1-NORMSDIST(('Jun2026_Settled'!$C$17-$C10)/$D10))</f>
        <v/>
      </c>
      <c r="F10" s="90">
        <f>IF(ISNUMBER($B10),IF($B10&gt;='Jun2026_Settled'!$C$26,1,0),"")</f>
        <v/>
      </c>
      <c r="G10" s="39">
        <f>IF(ISNUMBER($B10),'Jun2026_Settled'!$C$42+'Jun2026_Settled'!$E$42*$B10,"")</f>
        <v/>
      </c>
      <c r="H10" s="89">
        <f>IFERROR(IF(OR($G10="",'Jun2026_Settled'!$C$93=""),"",1-NORMSDIST(('Jun2026_Settled'!$C$41-$G10)/SQRT(('Jun2026_Settled'!$E$42*'Jun2026_Settled'!$C$93)^2+'Jun2026_Settled'!$G$42^2))),"")</f>
        <v/>
      </c>
    </row>
    <row r="11">
      <c r="A11" s="86" t="n">
        <v>6</v>
      </c>
      <c r="B11" s="87" t="n">
        <v>0.5593</v>
      </c>
      <c r="C11" s="39">
        <f>IF(ISNUMBER($B11),'Jun2026_Settled'!$C$22+'Jun2026_Settled'!$C$23*$B11,"")</f>
        <v/>
      </c>
      <c r="D11" s="88">
        <f>IF(ISNUMBER($B11),IFERROR(SQRT(('Jun2026_Settled'!$C$23*'Jun2026_Settled'!$C$93)^2+'Jun2026_Settled'!$C$24^2),""),"")</f>
        <v/>
      </c>
      <c r="E11" s="89">
        <f>IF(OR($C11="",$D11="",$D11=0),"",1-NORMSDIST(('Jun2026_Settled'!$C$17-$C11)/$D11))</f>
        <v/>
      </c>
      <c r="F11" s="90">
        <f>IF(ISNUMBER($B11),IF($B11&gt;='Jun2026_Settled'!$C$26,1,0),"")</f>
        <v/>
      </c>
      <c r="G11" s="39">
        <f>IF(ISNUMBER($B11),'Jun2026_Settled'!$C$42+'Jun2026_Settled'!$E$42*$B11,"")</f>
        <v/>
      </c>
      <c r="H11" s="89">
        <f>IFERROR(IF(OR($G11="",'Jun2026_Settled'!$C$93=""),"",1-NORMSDIST(('Jun2026_Settled'!$C$41-$G11)/SQRT(('Jun2026_Settled'!$E$42*'Jun2026_Settled'!$C$93)^2+'Jun2026_Settled'!$G$42^2))),"")</f>
        <v/>
      </c>
    </row>
    <row r="12">
      <c r="A12" s="86" t="n">
        <v>7</v>
      </c>
      <c r="B12" s="87" t="n">
        <v>0.5593</v>
      </c>
      <c r="C12" s="39">
        <f>IF(ISNUMBER($B12),'Jun2026_Settled'!$C$22+'Jun2026_Settled'!$C$23*$B12,"")</f>
        <v/>
      </c>
      <c r="D12" s="88">
        <f>IF(ISNUMBER($B12),IFERROR(SQRT(('Jun2026_Settled'!$C$23*'Jun2026_Settled'!$C$93)^2+'Jun2026_Settled'!$C$24^2),""),"")</f>
        <v/>
      </c>
      <c r="E12" s="89">
        <f>IF(OR($C12="",$D12="",$D12=0),"",1-NORMSDIST(('Jun2026_Settled'!$C$17-$C12)/$D12))</f>
        <v/>
      </c>
      <c r="F12" s="90">
        <f>IF(ISNUMBER($B12),IF($B12&gt;='Jun2026_Settled'!$C$26,1,0),"")</f>
        <v/>
      </c>
      <c r="G12" s="39">
        <f>IF(ISNUMBER($B12),'Jun2026_Settled'!$C$42+'Jun2026_Settled'!$E$42*$B12,"")</f>
        <v/>
      </c>
      <c r="H12" s="89">
        <f>IFERROR(IF(OR($G12="",'Jun2026_Settled'!$C$93=""),"",1-NORMSDIST(('Jun2026_Settled'!$C$41-$G12)/SQRT(('Jun2026_Settled'!$E$42*'Jun2026_Settled'!$C$93)^2+'Jun2026_Settled'!$G$42^2))),"")</f>
        <v/>
      </c>
    </row>
    <row r="13">
      <c r="A13" s="86" t="n">
        <v>8</v>
      </c>
      <c r="B13" s="87" t="n">
        <v>0.5593</v>
      </c>
      <c r="C13" s="39">
        <f>IF(ISNUMBER($B13),'Jun2026_Settled'!$C$22+'Jun2026_Settled'!$C$23*$B13,"")</f>
        <v/>
      </c>
      <c r="D13" s="88">
        <f>IF(ISNUMBER($B13),IFERROR(SQRT(('Jun2026_Settled'!$C$23*'Jun2026_Settled'!$C$93)^2+'Jun2026_Settled'!$C$24^2),""),"")</f>
        <v/>
      </c>
      <c r="E13" s="89">
        <f>IF(OR($C13="",$D13="",$D13=0),"",1-NORMSDIST(('Jun2026_Settled'!$C$17-$C13)/$D13))</f>
        <v/>
      </c>
      <c r="F13" s="90">
        <f>IF(ISNUMBER($B13),IF($B13&gt;='Jun2026_Settled'!$C$26,1,0),"")</f>
        <v/>
      </c>
      <c r="G13" s="39">
        <f>IF(ISNUMBER($B13),'Jun2026_Settled'!$C$42+'Jun2026_Settled'!$E$42*$B13,"")</f>
        <v/>
      </c>
      <c r="H13" s="89">
        <f>IFERROR(IF(OR($G13="",'Jun2026_Settled'!$C$93=""),"",1-NORMSDIST(('Jun2026_Settled'!$C$41-$G13)/SQRT(('Jun2026_Settled'!$E$42*'Jun2026_Settled'!$C$93)^2+'Jun2026_Settled'!$G$42^2))),"")</f>
        <v/>
      </c>
    </row>
    <row r="14">
      <c r="A14" s="86" t="n">
        <v>9</v>
      </c>
      <c r="B14" s="87" t="n">
        <v>0.5593</v>
      </c>
      <c r="C14" s="39">
        <f>IF(ISNUMBER($B14),'Jun2026_Settled'!$C$22+'Jun2026_Settled'!$C$23*$B14,"")</f>
        <v/>
      </c>
      <c r="D14" s="88">
        <f>IF(ISNUMBER($B14),IFERROR(SQRT(('Jun2026_Settled'!$C$23*'Jun2026_Settled'!$C$93)^2+'Jun2026_Settled'!$C$24^2),""),"")</f>
        <v/>
      </c>
      <c r="E14" s="89">
        <f>IF(OR($C14="",$D14="",$D14=0),"",1-NORMSDIST(('Jun2026_Settled'!$C$17-$C14)/$D14))</f>
        <v/>
      </c>
      <c r="F14" s="90">
        <f>IF(ISNUMBER($B14),IF($B14&gt;='Jun2026_Settled'!$C$26,1,0),"")</f>
        <v/>
      </c>
      <c r="G14" s="39">
        <f>IF(ISNUMBER($B14),'Jun2026_Settled'!$C$42+'Jun2026_Settled'!$E$42*$B14,"")</f>
        <v/>
      </c>
      <c r="H14" s="89">
        <f>IFERROR(IF(OR($G14="",'Jun2026_Settled'!$C$93=""),"",1-NORMSDIST(('Jun2026_Settled'!$C$41-$G14)/SQRT(('Jun2026_Settled'!$E$42*'Jun2026_Settled'!$C$93)^2+'Jun2026_Settled'!$G$42^2))),"")</f>
        <v/>
      </c>
    </row>
    <row r="15">
      <c r="A15" s="86" t="n">
        <v>10</v>
      </c>
      <c r="B15" s="87" t="n">
        <v>0.5593</v>
      </c>
      <c r="C15" s="39">
        <f>IF(ISNUMBER($B15),'Jun2026_Settled'!$C$22+'Jun2026_Settled'!$C$23*$B15,"")</f>
        <v/>
      </c>
      <c r="D15" s="88">
        <f>IF(ISNUMBER($B15),IFERROR(SQRT(('Jun2026_Settled'!$C$23*'Jun2026_Settled'!$C$93)^2+'Jun2026_Settled'!$C$24^2),""),"")</f>
        <v/>
      </c>
      <c r="E15" s="89">
        <f>IF(OR($C15="",$D15="",$D15=0),"",1-NORMSDIST(('Jun2026_Settled'!$C$17-$C15)/$D15))</f>
        <v/>
      </c>
      <c r="F15" s="90">
        <f>IF(ISNUMBER($B15),IF($B15&gt;='Jun2026_Settled'!$C$26,1,0),"")</f>
        <v/>
      </c>
      <c r="G15" s="39">
        <f>IF(ISNUMBER($B15),'Jun2026_Settled'!$C$42+'Jun2026_Settled'!$E$42*$B15,"")</f>
        <v/>
      </c>
      <c r="H15" s="89">
        <f>IFERROR(IF(OR($G15="",'Jun2026_Settled'!$C$93=""),"",1-NORMSDIST(('Jun2026_Settled'!$C$41-$G15)/SQRT(('Jun2026_Settled'!$E$42*'Jun2026_Settled'!$C$93)^2+'Jun2026_Settled'!$G$42^2))),"")</f>
        <v/>
      </c>
    </row>
    <row r="16">
      <c r="A16" s="86" t="n">
        <v>11</v>
      </c>
      <c r="B16" s="87" t="n">
        <v>0.5593</v>
      </c>
      <c r="C16" s="39">
        <f>IF(ISNUMBER($B16),'Jun2026_Settled'!$C$22+'Jun2026_Settled'!$C$23*$B16,"")</f>
        <v/>
      </c>
      <c r="D16" s="88">
        <f>IF(ISNUMBER($B16),IFERROR(SQRT(('Jun2026_Settled'!$C$23*'Jun2026_Settled'!$C$93)^2+'Jun2026_Settled'!$C$24^2),""),"")</f>
        <v/>
      </c>
      <c r="E16" s="89">
        <f>IF(OR($C16="",$D16="",$D16=0),"",1-NORMSDIST(('Jun2026_Settled'!$C$17-$C16)/$D16))</f>
        <v/>
      </c>
      <c r="F16" s="90">
        <f>IF(ISNUMBER($B16),IF($B16&gt;='Jun2026_Settled'!$C$26,1,0),"")</f>
        <v/>
      </c>
      <c r="G16" s="39">
        <f>IF(ISNUMBER($B16),'Jun2026_Settled'!$C$42+'Jun2026_Settled'!$E$42*$B16,"")</f>
        <v/>
      </c>
      <c r="H16" s="89">
        <f>IFERROR(IF(OR($G16="",'Jun2026_Settled'!$C$93=""),"",1-NORMSDIST(('Jun2026_Settled'!$C$41-$G16)/SQRT(('Jun2026_Settled'!$E$42*'Jun2026_Settled'!$C$93)^2+'Jun2026_Settled'!$G$42^2))),"")</f>
        <v/>
      </c>
    </row>
    <row r="17">
      <c r="A17" s="86" t="n">
        <v>12</v>
      </c>
      <c r="B17" s="87" t="n">
        <v>0.5593</v>
      </c>
      <c r="C17" s="39">
        <f>IF(ISNUMBER($B17),'Jun2026_Settled'!$C$22+'Jun2026_Settled'!$C$23*$B17,"")</f>
        <v/>
      </c>
      <c r="D17" s="88">
        <f>IF(ISNUMBER($B17),IFERROR(SQRT(('Jun2026_Settled'!$C$23*'Jun2026_Settled'!$C$93)^2+'Jun2026_Settled'!$C$24^2),""),"")</f>
        <v/>
      </c>
      <c r="E17" s="89">
        <f>IF(OR($C17="",$D17="",$D17=0),"",1-NORMSDIST(('Jun2026_Settled'!$C$17-$C17)/$D17))</f>
        <v/>
      </c>
      <c r="F17" s="90">
        <f>IF(ISNUMBER($B17),IF($B17&gt;='Jun2026_Settled'!$C$26,1,0),"")</f>
        <v/>
      </c>
      <c r="G17" s="39">
        <f>IF(ISNUMBER($B17),'Jun2026_Settled'!$C$42+'Jun2026_Settled'!$E$42*$B17,"")</f>
        <v/>
      </c>
      <c r="H17" s="89">
        <f>IFERROR(IF(OR($G17="",'Jun2026_Settled'!$C$93=""),"",1-NORMSDIST(('Jun2026_Settled'!$C$41-$G17)/SQRT(('Jun2026_Settled'!$E$42*'Jun2026_Settled'!$C$93)^2+'Jun2026_Settled'!$G$42^2))),"")</f>
        <v/>
      </c>
    </row>
    <row r="18">
      <c r="A18" s="86" t="n">
        <v>13</v>
      </c>
      <c r="B18" s="87" t="n">
        <v>0.5593</v>
      </c>
      <c r="C18" s="39">
        <f>IF(ISNUMBER($B18),'Jun2026_Settled'!$C$22+'Jun2026_Settled'!$C$23*$B18,"")</f>
        <v/>
      </c>
      <c r="D18" s="88">
        <f>IF(ISNUMBER($B18),IFERROR(SQRT(('Jun2026_Settled'!$C$23*'Jun2026_Settled'!$C$93)^2+'Jun2026_Settled'!$C$24^2),""),"")</f>
        <v/>
      </c>
      <c r="E18" s="89">
        <f>IF(OR($C18="",$D18="",$D18=0),"",1-NORMSDIST(('Jun2026_Settled'!$C$17-$C18)/$D18))</f>
        <v/>
      </c>
      <c r="F18" s="90">
        <f>IF(ISNUMBER($B18),IF($B18&gt;='Jun2026_Settled'!$C$26,1,0),"")</f>
        <v/>
      </c>
      <c r="G18" s="39">
        <f>IF(ISNUMBER($B18),'Jun2026_Settled'!$C$42+'Jun2026_Settled'!$E$42*$B18,"")</f>
        <v/>
      </c>
      <c r="H18" s="89">
        <f>IFERROR(IF(OR($G18="",'Jun2026_Settled'!$C$93=""),"",1-NORMSDIST(('Jun2026_Settled'!$C$41-$G18)/SQRT(('Jun2026_Settled'!$E$42*'Jun2026_Settled'!$C$93)^2+'Jun2026_Settled'!$G$42^2))),"")</f>
        <v/>
      </c>
    </row>
    <row r="19">
      <c r="A19" s="86" t="n">
        <v>14</v>
      </c>
      <c r="B19" s="87" t="n">
        <v>0.5593</v>
      </c>
      <c r="C19" s="39">
        <f>IF(ISNUMBER($B19),'Jun2026_Settled'!$C$22+'Jun2026_Settled'!$C$23*$B19,"")</f>
        <v/>
      </c>
      <c r="D19" s="88">
        <f>IF(ISNUMBER($B19),IFERROR(SQRT(('Jun2026_Settled'!$C$23*'Jun2026_Settled'!$C$93)^2+'Jun2026_Settled'!$C$24^2),""),"")</f>
        <v/>
      </c>
      <c r="E19" s="89">
        <f>IF(OR($C19="",$D19="",$D19=0),"",1-NORMSDIST(('Jun2026_Settled'!$C$17-$C19)/$D19))</f>
        <v/>
      </c>
      <c r="F19" s="90">
        <f>IF(ISNUMBER($B19),IF($B19&gt;='Jun2026_Settled'!$C$26,1,0),"")</f>
        <v/>
      </c>
      <c r="G19" s="39">
        <f>IF(ISNUMBER($B19),'Jun2026_Settled'!$C$42+'Jun2026_Settled'!$E$42*$B19,"")</f>
        <v/>
      </c>
      <c r="H19" s="89">
        <f>IFERROR(IF(OR($G19="",'Jun2026_Settled'!$C$93=""),"",1-NORMSDIST(('Jun2026_Settled'!$C$41-$G19)/SQRT(('Jun2026_Settled'!$E$42*'Jun2026_Settled'!$C$93)^2+'Jun2026_Settled'!$G$42^2))),"")</f>
        <v/>
      </c>
    </row>
    <row r="20">
      <c r="A20" s="86" t="n">
        <v>15</v>
      </c>
      <c r="B20" s="87" t="n">
        <v>0.5593</v>
      </c>
      <c r="C20" s="39">
        <f>IF(ISNUMBER($B20),'Jun2026_Settled'!$C$22+'Jun2026_Settled'!$C$23*$B20,"")</f>
        <v/>
      </c>
      <c r="D20" s="88">
        <f>IF(ISNUMBER($B20),IFERROR(SQRT(('Jun2026_Settled'!$C$23*'Jun2026_Settled'!$C$93)^2+'Jun2026_Settled'!$C$24^2),""),"")</f>
        <v/>
      </c>
      <c r="E20" s="89">
        <f>IF(OR($C20="",$D20="",$D20=0),"",1-NORMSDIST(('Jun2026_Settled'!$C$17-$C20)/$D20))</f>
        <v/>
      </c>
      <c r="F20" s="90">
        <f>IF(ISNUMBER($B20),IF($B20&gt;='Jun2026_Settled'!$C$26,1,0),"")</f>
        <v/>
      </c>
      <c r="G20" s="39">
        <f>IF(ISNUMBER($B20),'Jun2026_Settled'!$C$42+'Jun2026_Settled'!$E$42*$B20,"")</f>
        <v/>
      </c>
      <c r="H20" s="89">
        <f>IFERROR(IF(OR($G20="",'Jun2026_Settled'!$C$93=""),"",1-NORMSDIST(('Jun2026_Settled'!$C$41-$G20)/SQRT(('Jun2026_Settled'!$E$42*'Jun2026_Settled'!$C$93)^2+'Jun2026_Settled'!$G$42^2))),"")</f>
        <v/>
      </c>
    </row>
    <row r="21">
      <c r="A21" s="86" t="n">
        <v>16</v>
      </c>
      <c r="B21" s="87" t="n">
        <v>0.5593</v>
      </c>
      <c r="C21" s="39">
        <f>IF(ISNUMBER($B21),'Jun2026_Settled'!$C$22+'Jun2026_Settled'!$C$23*$B21,"")</f>
        <v/>
      </c>
      <c r="D21" s="88">
        <f>IF(ISNUMBER($B21),IFERROR(SQRT(('Jun2026_Settled'!$C$23*'Jun2026_Settled'!$C$93)^2+'Jun2026_Settled'!$C$24^2),""),"")</f>
        <v/>
      </c>
      <c r="E21" s="89">
        <f>IF(OR($C21="",$D21="",$D21=0),"",1-NORMSDIST(('Jun2026_Settled'!$C$17-$C21)/$D21))</f>
        <v/>
      </c>
      <c r="F21" s="90">
        <f>IF(ISNUMBER($B21),IF($B21&gt;='Jun2026_Settled'!$C$26,1,0),"")</f>
        <v/>
      </c>
      <c r="G21" s="39">
        <f>IF(ISNUMBER($B21),'Jun2026_Settled'!$C$42+'Jun2026_Settled'!$E$42*$B21,"")</f>
        <v/>
      </c>
      <c r="H21" s="89">
        <f>IFERROR(IF(OR($G21="",'Jun2026_Settled'!$C$93=""),"",1-NORMSDIST(('Jun2026_Settled'!$C$41-$G21)/SQRT(('Jun2026_Settled'!$E$42*'Jun2026_Settled'!$C$93)^2+'Jun2026_Settled'!$G$42^2))),"")</f>
        <v/>
      </c>
    </row>
    <row r="22">
      <c r="A22" s="86" t="n">
        <v>17</v>
      </c>
      <c r="B22" s="87" t="n">
        <v>0.5593</v>
      </c>
      <c r="C22" s="39">
        <f>IF(ISNUMBER($B22),'Jun2026_Settled'!$C$22+'Jun2026_Settled'!$C$23*$B22,"")</f>
        <v/>
      </c>
      <c r="D22" s="88">
        <f>IF(ISNUMBER($B22),IFERROR(SQRT(('Jun2026_Settled'!$C$23*'Jun2026_Settled'!$C$93)^2+'Jun2026_Settled'!$C$24^2),""),"")</f>
        <v/>
      </c>
      <c r="E22" s="89">
        <f>IF(OR($C22="",$D22="",$D22=0),"",1-NORMSDIST(('Jun2026_Settled'!$C$17-$C22)/$D22))</f>
        <v/>
      </c>
      <c r="F22" s="90">
        <f>IF(ISNUMBER($B22),IF($B22&gt;='Jun2026_Settled'!$C$26,1,0),"")</f>
        <v/>
      </c>
      <c r="G22" s="39">
        <f>IF(ISNUMBER($B22),'Jun2026_Settled'!$C$42+'Jun2026_Settled'!$E$42*$B22,"")</f>
        <v/>
      </c>
      <c r="H22" s="89">
        <f>IFERROR(IF(OR($G22="",'Jun2026_Settled'!$C$93=""),"",1-NORMSDIST(('Jun2026_Settled'!$C$41-$G22)/SQRT(('Jun2026_Settled'!$E$42*'Jun2026_Settled'!$C$93)^2+'Jun2026_Settled'!$G$42^2))),"")</f>
        <v/>
      </c>
    </row>
    <row r="23">
      <c r="A23" s="86" t="n">
        <v>18</v>
      </c>
      <c r="B23" s="87" t="n">
        <v>0.5593</v>
      </c>
      <c r="C23" s="39">
        <f>IF(ISNUMBER($B23),'Jun2026_Settled'!$C$22+'Jun2026_Settled'!$C$23*$B23,"")</f>
        <v/>
      </c>
      <c r="D23" s="88">
        <f>IF(ISNUMBER($B23),IFERROR(SQRT(('Jun2026_Settled'!$C$23*'Jun2026_Settled'!$C$93)^2+'Jun2026_Settled'!$C$24^2),""),"")</f>
        <v/>
      </c>
      <c r="E23" s="89">
        <f>IF(OR($C23="",$D23="",$D23=0),"",1-NORMSDIST(('Jun2026_Settled'!$C$17-$C23)/$D23))</f>
        <v/>
      </c>
      <c r="F23" s="90">
        <f>IF(ISNUMBER($B23),IF($B23&gt;='Jun2026_Settled'!$C$26,1,0),"")</f>
        <v/>
      </c>
      <c r="G23" s="39">
        <f>IF(ISNUMBER($B23),'Jun2026_Settled'!$C$42+'Jun2026_Settled'!$E$42*$B23,"")</f>
        <v/>
      </c>
      <c r="H23" s="89">
        <f>IFERROR(IF(OR($G23="",'Jun2026_Settled'!$C$93=""),"",1-NORMSDIST(('Jun2026_Settled'!$C$41-$G23)/SQRT(('Jun2026_Settled'!$E$42*'Jun2026_Settled'!$C$93)^2+'Jun2026_Settled'!$G$42^2))),"")</f>
        <v/>
      </c>
    </row>
    <row r="24">
      <c r="A24" s="86" t="n">
        <v>19</v>
      </c>
      <c r="B24" s="87" t="n">
        <v>0.5593</v>
      </c>
      <c r="C24" s="39">
        <f>IF(ISNUMBER($B24),'Jun2026_Settled'!$C$22+'Jun2026_Settled'!$C$23*$B24,"")</f>
        <v/>
      </c>
      <c r="D24" s="88">
        <f>IF(ISNUMBER($B24),IFERROR(SQRT(('Jun2026_Settled'!$C$23*'Jun2026_Settled'!$C$93)^2+'Jun2026_Settled'!$C$24^2),""),"")</f>
        <v/>
      </c>
      <c r="E24" s="89">
        <f>IF(OR($C24="",$D24="",$D24=0),"",1-NORMSDIST(('Jun2026_Settled'!$C$17-$C24)/$D24))</f>
        <v/>
      </c>
      <c r="F24" s="90">
        <f>IF(ISNUMBER($B24),IF($B24&gt;='Jun2026_Settled'!$C$26,1,0),"")</f>
        <v/>
      </c>
      <c r="G24" s="39">
        <f>IF(ISNUMBER($B24),'Jun2026_Settled'!$C$42+'Jun2026_Settled'!$E$42*$B24,"")</f>
        <v/>
      </c>
      <c r="H24" s="89">
        <f>IFERROR(IF(OR($G24="",'Jun2026_Settled'!$C$93=""),"",1-NORMSDIST(('Jun2026_Settled'!$C$41-$G24)/SQRT(('Jun2026_Settled'!$E$42*'Jun2026_Settled'!$C$93)^2+'Jun2026_Settled'!$G$42^2))),"")</f>
        <v/>
      </c>
    </row>
    <row r="25">
      <c r="A25" s="86" t="n">
        <v>20</v>
      </c>
      <c r="B25" s="87" t="n">
        <v>0.5593</v>
      </c>
      <c r="C25" s="39">
        <f>IF(ISNUMBER($B25),'Jun2026_Settled'!$C$22+'Jun2026_Settled'!$C$23*$B25,"")</f>
        <v/>
      </c>
      <c r="D25" s="88">
        <f>IF(ISNUMBER($B25),IFERROR(SQRT(('Jun2026_Settled'!$C$23*'Jun2026_Settled'!$C$93)^2+'Jun2026_Settled'!$C$24^2),""),"")</f>
        <v/>
      </c>
      <c r="E25" s="89">
        <f>IF(OR($C25="",$D25="",$D25=0),"",1-NORMSDIST(('Jun2026_Settled'!$C$17-$C25)/$D25))</f>
        <v/>
      </c>
      <c r="F25" s="90">
        <f>IF(ISNUMBER($B25),IF($B25&gt;='Jun2026_Settled'!$C$26,1,0),"")</f>
        <v/>
      </c>
      <c r="G25" s="39">
        <f>IF(ISNUMBER($B25),'Jun2026_Settled'!$C$42+'Jun2026_Settled'!$E$42*$B25,"")</f>
        <v/>
      </c>
      <c r="H25" s="89">
        <f>IFERROR(IF(OR($G25="",'Jun2026_Settled'!$C$93=""),"",1-NORMSDIST(('Jun2026_Settled'!$C$41-$G25)/SQRT(('Jun2026_Settled'!$E$42*'Jun2026_Settled'!$C$93)^2+'Jun2026_Settled'!$G$42^2))),"")</f>
        <v/>
      </c>
    </row>
    <row r="26">
      <c r="A26" s="86" t="n">
        <v>21</v>
      </c>
      <c r="B26" s="87" t="n">
        <v>0.5593</v>
      </c>
      <c r="C26" s="39">
        <f>IF(ISNUMBER($B26),'Jun2026_Settled'!$C$22+'Jun2026_Settled'!$C$23*$B26,"")</f>
        <v/>
      </c>
      <c r="D26" s="88">
        <f>IF(ISNUMBER($B26),IFERROR(SQRT(('Jun2026_Settled'!$C$23*'Jun2026_Settled'!$C$93)^2+'Jun2026_Settled'!$C$24^2),""),"")</f>
        <v/>
      </c>
      <c r="E26" s="89">
        <f>IF(OR($C26="",$D26="",$D26=0),"",1-NORMSDIST(('Jun2026_Settled'!$C$17-$C26)/$D26))</f>
        <v/>
      </c>
      <c r="F26" s="90">
        <f>IF(ISNUMBER($B26),IF($B26&gt;='Jun2026_Settled'!$C$26,1,0),"")</f>
        <v/>
      </c>
      <c r="G26" s="39">
        <f>IF(ISNUMBER($B26),'Jun2026_Settled'!$C$42+'Jun2026_Settled'!$E$42*$B26,"")</f>
        <v/>
      </c>
      <c r="H26" s="89">
        <f>IFERROR(IF(OR($G26="",'Jun2026_Settled'!$C$93=""),"",1-NORMSDIST(('Jun2026_Settled'!$C$41-$G26)/SQRT(('Jun2026_Settled'!$E$42*'Jun2026_Settled'!$C$93)^2+'Jun2026_Settled'!$G$42^2))),"")</f>
        <v/>
      </c>
    </row>
    <row r="27">
      <c r="A27" s="86" t="n">
        <v>22</v>
      </c>
      <c r="B27" s="87" t="n">
        <v>0.5593</v>
      </c>
      <c r="C27" s="39">
        <f>IF(ISNUMBER($B27),'Jun2026_Settled'!$C$22+'Jun2026_Settled'!$C$23*$B27,"")</f>
        <v/>
      </c>
      <c r="D27" s="88">
        <f>IF(ISNUMBER($B27),IFERROR(SQRT(('Jun2026_Settled'!$C$23*'Jun2026_Settled'!$C$93)^2+'Jun2026_Settled'!$C$24^2),""),"")</f>
        <v/>
      </c>
      <c r="E27" s="89">
        <f>IF(OR($C27="",$D27="",$D27=0),"",1-NORMSDIST(('Jun2026_Settled'!$C$17-$C27)/$D27))</f>
        <v/>
      </c>
      <c r="F27" s="90">
        <f>IF(ISNUMBER($B27),IF($B27&gt;='Jun2026_Settled'!$C$26,1,0),"")</f>
        <v/>
      </c>
      <c r="G27" s="39">
        <f>IF(ISNUMBER($B27),'Jun2026_Settled'!$C$42+'Jun2026_Settled'!$E$42*$B27,"")</f>
        <v/>
      </c>
      <c r="H27" s="89">
        <f>IFERROR(IF(OR($G27="",'Jun2026_Settled'!$C$93=""),"",1-NORMSDIST(('Jun2026_Settled'!$C$41-$G27)/SQRT(('Jun2026_Settled'!$E$42*'Jun2026_Settled'!$C$93)^2+'Jun2026_Settled'!$G$42^2))),"")</f>
        <v/>
      </c>
    </row>
    <row r="28">
      <c r="A28" s="86" t="n">
        <v>23</v>
      </c>
      <c r="B28" s="87" t="n">
        <v>0.5593</v>
      </c>
      <c r="C28" s="39">
        <f>IF(ISNUMBER($B28),'Jun2026_Settled'!$C$22+'Jun2026_Settled'!$C$23*$B28,"")</f>
        <v/>
      </c>
      <c r="D28" s="88">
        <f>IF(ISNUMBER($B28),IFERROR(SQRT(('Jun2026_Settled'!$C$23*'Jun2026_Settled'!$C$93)^2+'Jun2026_Settled'!$C$24^2),""),"")</f>
        <v/>
      </c>
      <c r="E28" s="89">
        <f>IF(OR($C28="",$D28="",$D28=0),"",1-NORMSDIST(('Jun2026_Settled'!$C$17-$C28)/$D28))</f>
        <v/>
      </c>
      <c r="F28" s="90">
        <f>IF(ISNUMBER($B28),IF($B28&gt;='Jun2026_Settled'!$C$26,1,0),"")</f>
        <v/>
      </c>
      <c r="G28" s="39">
        <f>IF(ISNUMBER($B28),'Jun2026_Settled'!$C$42+'Jun2026_Settled'!$E$42*$B28,"")</f>
        <v/>
      </c>
      <c r="H28" s="89">
        <f>IFERROR(IF(OR($G28="",'Jun2026_Settled'!$C$93=""),"",1-NORMSDIST(('Jun2026_Settled'!$C$41-$G28)/SQRT(('Jun2026_Settled'!$E$42*'Jun2026_Settled'!$C$93)^2+'Jun2026_Settled'!$G$42^2))),"")</f>
        <v/>
      </c>
    </row>
    <row r="29">
      <c r="A29" s="86" t="n">
        <v>24</v>
      </c>
      <c r="B29" s="87" t="n">
        <v>0.5593</v>
      </c>
      <c r="C29" s="39">
        <f>IF(ISNUMBER($B29),'Jun2026_Settled'!$C$22+'Jun2026_Settled'!$C$23*$B29,"")</f>
        <v/>
      </c>
      <c r="D29" s="88">
        <f>IF(ISNUMBER($B29),IFERROR(SQRT(('Jun2026_Settled'!$C$23*'Jun2026_Settled'!$C$93)^2+'Jun2026_Settled'!$C$24^2),""),"")</f>
        <v/>
      </c>
      <c r="E29" s="89">
        <f>IF(OR($C29="",$D29="",$D29=0),"",1-NORMSDIST(('Jun2026_Settled'!$C$17-$C29)/$D29))</f>
        <v/>
      </c>
      <c r="F29" s="90">
        <f>IF(ISNUMBER($B29),IF($B29&gt;='Jun2026_Settled'!$C$26,1,0),"")</f>
        <v/>
      </c>
      <c r="G29" s="39">
        <f>IF(ISNUMBER($B29),'Jun2026_Settled'!$C$42+'Jun2026_Settled'!$E$42*$B29,"")</f>
        <v/>
      </c>
      <c r="H29" s="89">
        <f>IFERROR(IF(OR($G29="",'Jun2026_Settled'!$C$93=""),"",1-NORMSDIST(('Jun2026_Settled'!$C$41-$G29)/SQRT(('Jun2026_Settled'!$E$42*'Jun2026_Settled'!$C$93)^2+'Jun2026_Settled'!$G$42^2))),"")</f>
        <v/>
      </c>
    </row>
    <row r="30">
      <c r="A30" s="86" t="n">
        <v>25</v>
      </c>
      <c r="B30" s="87" t="n">
        <v>0.5593</v>
      </c>
      <c r="C30" s="39">
        <f>IF(ISNUMBER($B30),'Jun2026_Settled'!$C$22+'Jun2026_Settled'!$C$23*$B30,"")</f>
        <v/>
      </c>
      <c r="D30" s="88">
        <f>IF(ISNUMBER($B30),IFERROR(SQRT(('Jun2026_Settled'!$C$23*'Jun2026_Settled'!$C$93)^2+'Jun2026_Settled'!$C$24^2),""),"")</f>
        <v/>
      </c>
      <c r="E30" s="89">
        <f>IF(OR($C30="",$D30="",$D30=0),"",1-NORMSDIST(('Jun2026_Settled'!$C$17-$C30)/$D30))</f>
        <v/>
      </c>
      <c r="F30" s="90">
        <f>IF(ISNUMBER($B30),IF($B30&gt;='Jun2026_Settled'!$C$26,1,0),"")</f>
        <v/>
      </c>
      <c r="G30" s="39">
        <f>IF(ISNUMBER($B30),'Jun2026_Settled'!$C$42+'Jun2026_Settled'!$E$42*$B30,"")</f>
        <v/>
      </c>
      <c r="H30" s="89">
        <f>IFERROR(IF(OR($G30="",'Jun2026_Settled'!$C$93=""),"",1-NORMSDIST(('Jun2026_Settled'!$C$41-$G30)/SQRT(('Jun2026_Settled'!$E$42*'Jun2026_Settled'!$C$93)^2+'Jun2026_Settled'!$G$42^2))),"")</f>
        <v/>
      </c>
    </row>
    <row r="31">
      <c r="A31" s="86" t="n">
        <v>26</v>
      </c>
      <c r="B31" s="87" t="n">
        <v>0.5593</v>
      </c>
      <c r="C31" s="39">
        <f>IF(ISNUMBER($B31),'Jun2026_Settled'!$C$22+'Jun2026_Settled'!$C$23*$B31,"")</f>
        <v/>
      </c>
      <c r="D31" s="88">
        <f>IF(ISNUMBER($B31),IFERROR(SQRT(('Jun2026_Settled'!$C$23*'Jun2026_Settled'!$C$93)^2+'Jun2026_Settled'!$C$24^2),""),"")</f>
        <v/>
      </c>
      <c r="E31" s="89">
        <f>IF(OR($C31="",$D31="",$D31=0),"",1-NORMSDIST(('Jun2026_Settled'!$C$17-$C31)/$D31))</f>
        <v/>
      </c>
      <c r="F31" s="90">
        <f>IF(ISNUMBER($B31),IF($B31&gt;='Jun2026_Settled'!$C$26,1,0),"")</f>
        <v/>
      </c>
      <c r="G31" s="39">
        <f>IF(ISNUMBER($B31),'Jun2026_Settled'!$C$42+'Jun2026_Settled'!$E$42*$B31,"")</f>
        <v/>
      </c>
      <c r="H31" s="89">
        <f>IFERROR(IF(OR($G31="",'Jun2026_Settled'!$C$93=""),"",1-NORMSDIST(('Jun2026_Settled'!$C$41-$G31)/SQRT(('Jun2026_Settled'!$E$42*'Jun2026_Settled'!$C$93)^2+'Jun2026_Settled'!$G$42^2))),"")</f>
        <v/>
      </c>
    </row>
    <row r="32">
      <c r="A32" s="86" t="n">
        <v>27</v>
      </c>
      <c r="B32" s="87" t="n">
        <v>0.5593</v>
      </c>
      <c r="C32" s="39">
        <f>IF(ISNUMBER($B32),'Jun2026_Settled'!$C$22+'Jun2026_Settled'!$C$23*$B32,"")</f>
        <v/>
      </c>
      <c r="D32" s="88">
        <f>IF(ISNUMBER($B32),IFERROR(SQRT(('Jun2026_Settled'!$C$23*'Jun2026_Settled'!$C$93)^2+'Jun2026_Settled'!$C$24^2),""),"")</f>
        <v/>
      </c>
      <c r="E32" s="89">
        <f>IF(OR($C32="",$D32="",$D32=0),"",1-NORMSDIST(('Jun2026_Settled'!$C$17-$C32)/$D32))</f>
        <v/>
      </c>
      <c r="F32" s="90">
        <f>IF(ISNUMBER($B32),IF($B32&gt;='Jun2026_Settled'!$C$26,1,0),"")</f>
        <v/>
      </c>
      <c r="G32" s="39">
        <f>IF(ISNUMBER($B32),'Jun2026_Settled'!$C$42+'Jun2026_Settled'!$E$42*$B32,"")</f>
        <v/>
      </c>
      <c r="H32" s="89">
        <f>IFERROR(IF(OR($G32="",'Jun2026_Settled'!$C$93=""),"",1-NORMSDIST(('Jun2026_Settled'!$C$41-$G32)/SQRT(('Jun2026_Settled'!$E$42*'Jun2026_Settled'!$C$93)^2+'Jun2026_Settled'!$G$42^2))),"")</f>
        <v/>
      </c>
    </row>
    <row r="33">
      <c r="A33" s="86" t="n">
        <v>28</v>
      </c>
      <c r="B33" s="87" t="n">
        <v>0.5593</v>
      </c>
      <c r="C33" s="39">
        <f>IF(ISNUMBER($B33),'Jun2026_Settled'!$C$22+'Jun2026_Settled'!$C$23*$B33,"")</f>
        <v/>
      </c>
      <c r="D33" s="88">
        <f>IF(ISNUMBER($B33),IFERROR(SQRT(('Jun2026_Settled'!$C$23*'Jun2026_Settled'!$C$93)^2+'Jun2026_Settled'!$C$24^2),""),"")</f>
        <v/>
      </c>
      <c r="E33" s="89">
        <f>IF(OR($C33="",$D33="",$D33=0),"",1-NORMSDIST(('Jun2026_Settled'!$C$17-$C33)/$D33))</f>
        <v/>
      </c>
      <c r="F33" s="90">
        <f>IF(ISNUMBER($B33),IF($B33&gt;='Jun2026_Settled'!$C$26,1,0),"")</f>
        <v/>
      </c>
      <c r="G33" s="39">
        <f>IF(ISNUMBER($B33),'Jun2026_Settled'!$C$42+'Jun2026_Settled'!$E$42*$B33,"")</f>
        <v/>
      </c>
      <c r="H33" s="89">
        <f>IFERROR(IF(OR($G33="",'Jun2026_Settled'!$C$93=""),"",1-NORMSDIST(('Jun2026_Settled'!$C$41-$G33)/SQRT(('Jun2026_Settled'!$E$42*'Jun2026_Settled'!$C$93)^2+'Jun2026_Settled'!$G$42^2))),"")</f>
        <v/>
      </c>
    </row>
    <row r="34">
      <c r="A34" s="86" t="n">
        <v>29</v>
      </c>
      <c r="B34" s="87" t="n">
        <v>0.5593</v>
      </c>
      <c r="C34" s="39">
        <f>IF(ISNUMBER($B34),'Jun2026_Settled'!$C$22+'Jun2026_Settled'!$C$23*$B34,"")</f>
        <v/>
      </c>
      <c r="D34" s="88">
        <f>IF(ISNUMBER($B34),IFERROR(SQRT(('Jun2026_Settled'!$C$23*'Jun2026_Settled'!$C$93)^2+'Jun2026_Settled'!$C$24^2),""),"")</f>
        <v/>
      </c>
      <c r="E34" s="89">
        <f>IF(OR($C34="",$D34="",$D34=0),"",1-NORMSDIST(('Jun2026_Settled'!$C$17-$C34)/$D34))</f>
        <v/>
      </c>
      <c r="F34" s="90">
        <f>IF(ISNUMBER($B34),IF($B34&gt;='Jun2026_Settled'!$C$26,1,0),"")</f>
        <v/>
      </c>
      <c r="G34" s="39">
        <f>IF(ISNUMBER($B34),'Jun2026_Settled'!$C$42+'Jun2026_Settled'!$E$42*$B34,"")</f>
        <v/>
      </c>
      <c r="H34" s="89">
        <f>IFERROR(IF(OR($G34="",'Jun2026_Settled'!$C$93=""),"",1-NORMSDIST(('Jun2026_Settled'!$C$41-$G34)/SQRT(('Jun2026_Settled'!$E$42*'Jun2026_Settled'!$C$93)^2+'Jun2026_Settled'!$G$42^2))),"")</f>
        <v/>
      </c>
    </row>
    <row r="35">
      <c r="A35" s="86" t="n">
        <v>30</v>
      </c>
      <c r="B35" s="87" t="n">
        <v>0.5593</v>
      </c>
      <c r="C35" s="39">
        <f>IF(ISNUMBER($B35),'Jun2026_Settled'!$C$22+'Jun2026_Settled'!$C$23*$B35,"")</f>
        <v/>
      </c>
      <c r="D35" s="88">
        <f>IF(ISNUMBER($B35),IFERROR(SQRT(('Jun2026_Settled'!$C$23*'Jun2026_Settled'!$C$93)^2+'Jun2026_Settled'!$C$24^2),""),"")</f>
        <v/>
      </c>
      <c r="E35" s="89">
        <f>IF(OR($C35="",$D35="",$D35=0),"",1-NORMSDIST(('Jun2026_Settled'!$C$17-$C35)/$D35))</f>
        <v/>
      </c>
      <c r="F35" s="90">
        <f>IF(ISNUMBER($B35),IF($B35&gt;='Jun2026_Settled'!$C$26,1,0),"")</f>
        <v/>
      </c>
      <c r="G35" s="39">
        <f>IF(ISNUMBER($B35),'Jun2026_Settled'!$C$42+'Jun2026_Settled'!$E$42*$B35,"")</f>
        <v/>
      </c>
      <c r="H35" s="89">
        <f>IFERROR(IF(OR($G35="",'Jun2026_Settled'!$C$93=""),"",1-NORMSDIST(('Jun2026_Settled'!$C$41-$G35)/SQRT(('Jun2026_Settled'!$E$42*'Jun2026_Settled'!$C$93)^2+'Jun2026_Settled'!$G$42^2))),"")</f>
        <v/>
      </c>
    </row>
    <row r="36">
      <c r="A36" s="86" t="n">
        <v>31</v>
      </c>
      <c r="B36" s="87" t="n">
        <v>0.5593</v>
      </c>
      <c r="C36" s="39">
        <f>IF(ISNUMBER($B36),'Jun2026_Settled'!$C$22+'Jun2026_Settled'!$C$23*$B36,"")</f>
        <v/>
      </c>
      <c r="D36" s="88">
        <f>IF(ISNUMBER($B36),IFERROR(SQRT(('Jun2026_Settled'!$C$23*'Jun2026_Settled'!$C$93)^2+'Jun2026_Settled'!$C$24^2),""),"")</f>
        <v/>
      </c>
      <c r="E36" s="89">
        <f>IF(OR($C36="",$D36="",$D36=0),"",1-NORMSDIST(('Jun2026_Settled'!$C$17-$C36)/$D36))</f>
        <v/>
      </c>
      <c r="F36" s="90">
        <f>IF(ISNUMBER($B36),IF($B36&gt;='Jun2026_Settled'!$C$26,1,0),"")</f>
        <v/>
      </c>
      <c r="G36" s="39">
        <f>IF(ISNUMBER($B36),'Jun2026_Settled'!$C$42+'Jun2026_Settled'!$E$42*$B36,"")</f>
        <v/>
      </c>
      <c r="H36" s="89">
        <f>IFERROR(IF(OR($G36="",'Jun2026_Settled'!$C$93=""),"",1-NORMSDIST(('Jun2026_Settled'!$C$41-$G36)/SQRT(('Jun2026_Settled'!$E$42*'Jun2026_Settled'!$C$93)^2+'Jun2026_Settled'!$G$42^2))),"")</f>
        <v/>
      </c>
    </row>
    <row r="37">
      <c r="A37" s="86" t="n">
        <v>32</v>
      </c>
      <c r="B37" s="87" t="n">
        <v>0.5593</v>
      </c>
      <c r="C37" s="39">
        <f>IF(ISNUMBER($B37),'Jun2026_Settled'!$C$22+'Jun2026_Settled'!$C$23*$B37,"")</f>
        <v/>
      </c>
      <c r="D37" s="88">
        <f>IF(ISNUMBER($B37),IFERROR(SQRT(('Jun2026_Settled'!$C$23*'Jun2026_Settled'!$C$93)^2+'Jun2026_Settled'!$C$24^2),""),"")</f>
        <v/>
      </c>
      <c r="E37" s="89">
        <f>IF(OR($C37="",$D37="",$D37=0),"",1-NORMSDIST(('Jun2026_Settled'!$C$17-$C37)/$D37))</f>
        <v/>
      </c>
      <c r="F37" s="90">
        <f>IF(ISNUMBER($B37),IF($B37&gt;='Jun2026_Settled'!$C$26,1,0),"")</f>
        <v/>
      </c>
      <c r="G37" s="39">
        <f>IF(ISNUMBER($B37),'Jun2026_Settled'!$C$42+'Jun2026_Settled'!$E$42*$B37,"")</f>
        <v/>
      </c>
      <c r="H37" s="89">
        <f>IFERROR(IF(OR($G37="",'Jun2026_Settled'!$C$93=""),"",1-NORMSDIST(('Jun2026_Settled'!$C$41-$G37)/SQRT(('Jun2026_Settled'!$E$42*'Jun2026_Settled'!$C$93)^2+'Jun2026_Settled'!$G$42^2))),"")</f>
        <v/>
      </c>
    </row>
    <row r="38">
      <c r="A38" s="86" t="n">
        <v>33</v>
      </c>
      <c r="B38" s="87" t="n">
        <v>0.5593</v>
      </c>
      <c r="C38" s="39">
        <f>IF(ISNUMBER($B38),'Jun2026_Settled'!$C$22+'Jun2026_Settled'!$C$23*$B38,"")</f>
        <v/>
      </c>
      <c r="D38" s="88">
        <f>IF(ISNUMBER($B38),IFERROR(SQRT(('Jun2026_Settled'!$C$23*'Jun2026_Settled'!$C$93)^2+'Jun2026_Settled'!$C$24^2),""),"")</f>
        <v/>
      </c>
      <c r="E38" s="89">
        <f>IF(OR($C38="",$D38="",$D38=0),"",1-NORMSDIST(('Jun2026_Settled'!$C$17-$C38)/$D38))</f>
        <v/>
      </c>
      <c r="F38" s="90">
        <f>IF(ISNUMBER($B38),IF($B38&gt;='Jun2026_Settled'!$C$26,1,0),"")</f>
        <v/>
      </c>
      <c r="G38" s="39">
        <f>IF(ISNUMBER($B38),'Jun2026_Settled'!$C$42+'Jun2026_Settled'!$E$42*$B38,"")</f>
        <v/>
      </c>
      <c r="H38" s="89">
        <f>IFERROR(IF(OR($G38="",'Jun2026_Settled'!$C$93=""),"",1-NORMSDIST(('Jun2026_Settled'!$C$41-$G38)/SQRT(('Jun2026_Settled'!$E$42*'Jun2026_Settled'!$C$93)^2+'Jun2026_Settled'!$G$42^2))),"")</f>
        <v/>
      </c>
    </row>
    <row r="39">
      <c r="A39" s="86" t="n">
        <v>34</v>
      </c>
      <c r="B39" s="87" t="n">
        <v>0.5593</v>
      </c>
      <c r="C39" s="39">
        <f>IF(ISNUMBER($B39),'Jun2026_Settled'!$C$22+'Jun2026_Settled'!$C$23*$B39,"")</f>
        <v/>
      </c>
      <c r="D39" s="88">
        <f>IF(ISNUMBER($B39),IFERROR(SQRT(('Jun2026_Settled'!$C$23*'Jun2026_Settled'!$C$93)^2+'Jun2026_Settled'!$C$24^2),""),"")</f>
        <v/>
      </c>
      <c r="E39" s="89">
        <f>IF(OR($C39="",$D39="",$D39=0),"",1-NORMSDIST(('Jun2026_Settled'!$C$17-$C39)/$D39))</f>
        <v/>
      </c>
      <c r="F39" s="90">
        <f>IF(ISNUMBER($B39),IF($B39&gt;='Jun2026_Settled'!$C$26,1,0),"")</f>
        <v/>
      </c>
      <c r="G39" s="39">
        <f>IF(ISNUMBER($B39),'Jun2026_Settled'!$C$42+'Jun2026_Settled'!$E$42*$B39,"")</f>
        <v/>
      </c>
      <c r="H39" s="89">
        <f>IFERROR(IF(OR($G39="",'Jun2026_Settled'!$C$93=""),"",1-NORMSDIST(('Jun2026_Settled'!$C$41-$G39)/SQRT(('Jun2026_Settled'!$E$42*'Jun2026_Settled'!$C$93)^2+'Jun2026_Settled'!$G$42^2))),"")</f>
        <v/>
      </c>
    </row>
    <row r="40">
      <c r="A40" s="86" t="n">
        <v>35</v>
      </c>
      <c r="B40" s="87" t="n">
        <v>0.5593</v>
      </c>
      <c r="C40" s="39">
        <f>IF(ISNUMBER($B40),'Jun2026_Settled'!$C$22+'Jun2026_Settled'!$C$23*$B40,"")</f>
        <v/>
      </c>
      <c r="D40" s="88">
        <f>IF(ISNUMBER($B40),IFERROR(SQRT(('Jun2026_Settled'!$C$23*'Jun2026_Settled'!$C$93)^2+'Jun2026_Settled'!$C$24^2),""),"")</f>
        <v/>
      </c>
      <c r="E40" s="89">
        <f>IF(OR($C40="",$D40="",$D40=0),"",1-NORMSDIST(('Jun2026_Settled'!$C$17-$C40)/$D40))</f>
        <v/>
      </c>
      <c r="F40" s="90">
        <f>IF(ISNUMBER($B40),IF($B40&gt;='Jun2026_Settled'!$C$26,1,0),"")</f>
        <v/>
      </c>
      <c r="G40" s="39">
        <f>IF(ISNUMBER($B40),'Jun2026_Settled'!$C$42+'Jun2026_Settled'!$E$42*$B40,"")</f>
        <v/>
      </c>
      <c r="H40" s="89">
        <f>IFERROR(IF(OR($G40="",'Jun2026_Settled'!$C$93=""),"",1-NORMSDIST(('Jun2026_Settled'!$C$41-$G40)/SQRT(('Jun2026_Settled'!$E$42*'Jun2026_Settled'!$C$93)^2+'Jun2026_Settled'!$G$42^2))),"")</f>
        <v/>
      </c>
    </row>
    <row r="41">
      <c r="A41" s="86" t="n">
        <v>36</v>
      </c>
      <c r="B41" s="87" t="n">
        <v>0.5593</v>
      </c>
      <c r="C41" s="39">
        <f>IF(ISNUMBER($B41),'Jun2026_Settled'!$C$22+'Jun2026_Settled'!$C$23*$B41,"")</f>
        <v/>
      </c>
      <c r="D41" s="88">
        <f>IF(ISNUMBER($B41),IFERROR(SQRT(('Jun2026_Settled'!$C$23*'Jun2026_Settled'!$C$93)^2+'Jun2026_Settled'!$C$24^2),""),"")</f>
        <v/>
      </c>
      <c r="E41" s="89">
        <f>IF(OR($C41="",$D41="",$D41=0),"",1-NORMSDIST(('Jun2026_Settled'!$C$17-$C41)/$D41))</f>
        <v/>
      </c>
      <c r="F41" s="90">
        <f>IF(ISNUMBER($B41),IF($B41&gt;='Jun2026_Settled'!$C$26,1,0),"")</f>
        <v/>
      </c>
      <c r="G41" s="39">
        <f>IF(ISNUMBER($B41),'Jun2026_Settled'!$C$42+'Jun2026_Settled'!$E$42*$B41,"")</f>
        <v/>
      </c>
      <c r="H41" s="89">
        <f>IFERROR(IF(OR($G41="",'Jun2026_Settled'!$C$93=""),"",1-NORMSDIST(('Jun2026_Settled'!$C$41-$G41)/SQRT(('Jun2026_Settled'!$E$42*'Jun2026_Settled'!$C$93)^2+'Jun2026_Settled'!$G$42^2))),"")</f>
        <v/>
      </c>
    </row>
    <row r="42">
      <c r="A42" s="86" t="n">
        <v>37</v>
      </c>
      <c r="B42" s="87" t="n">
        <v>0.5593</v>
      </c>
      <c r="C42" s="39">
        <f>IF(ISNUMBER($B42),'Jun2026_Settled'!$C$22+'Jun2026_Settled'!$C$23*$B42,"")</f>
        <v/>
      </c>
      <c r="D42" s="88">
        <f>IF(ISNUMBER($B42),IFERROR(SQRT(('Jun2026_Settled'!$C$23*'Jun2026_Settled'!$C$93)^2+'Jun2026_Settled'!$C$24^2),""),"")</f>
        <v/>
      </c>
      <c r="E42" s="89">
        <f>IF(OR($C42="",$D42="",$D42=0),"",1-NORMSDIST(('Jun2026_Settled'!$C$17-$C42)/$D42))</f>
        <v/>
      </c>
      <c r="F42" s="90">
        <f>IF(ISNUMBER($B42),IF($B42&gt;='Jun2026_Settled'!$C$26,1,0),"")</f>
        <v/>
      </c>
      <c r="G42" s="39">
        <f>IF(ISNUMBER($B42),'Jun2026_Settled'!$C$42+'Jun2026_Settled'!$E$42*$B42,"")</f>
        <v/>
      </c>
      <c r="H42" s="89">
        <f>IFERROR(IF(OR($G42="",'Jun2026_Settled'!$C$93=""),"",1-NORMSDIST(('Jun2026_Settled'!$C$41-$G42)/SQRT(('Jun2026_Settled'!$E$42*'Jun2026_Settled'!$C$93)^2+'Jun2026_Settled'!$G$42^2))),"")</f>
        <v/>
      </c>
    </row>
    <row r="43">
      <c r="A43" s="86" t="n">
        <v>38</v>
      </c>
      <c r="B43" s="87" t="n">
        <v>0.5593</v>
      </c>
      <c r="C43" s="39">
        <f>IF(ISNUMBER($B43),'Jun2026_Settled'!$C$22+'Jun2026_Settled'!$C$23*$B43,"")</f>
        <v/>
      </c>
      <c r="D43" s="88">
        <f>IF(ISNUMBER($B43),IFERROR(SQRT(('Jun2026_Settled'!$C$23*'Jun2026_Settled'!$C$93)^2+'Jun2026_Settled'!$C$24^2),""),"")</f>
        <v/>
      </c>
      <c r="E43" s="89">
        <f>IF(OR($C43="",$D43="",$D43=0),"",1-NORMSDIST(('Jun2026_Settled'!$C$17-$C43)/$D43))</f>
        <v/>
      </c>
      <c r="F43" s="90">
        <f>IF(ISNUMBER($B43),IF($B43&gt;='Jun2026_Settled'!$C$26,1,0),"")</f>
        <v/>
      </c>
      <c r="G43" s="39">
        <f>IF(ISNUMBER($B43),'Jun2026_Settled'!$C$42+'Jun2026_Settled'!$E$42*$B43,"")</f>
        <v/>
      </c>
      <c r="H43" s="89">
        <f>IFERROR(IF(OR($G43="",'Jun2026_Settled'!$C$93=""),"",1-NORMSDIST(('Jun2026_Settled'!$C$41-$G43)/SQRT(('Jun2026_Settled'!$E$42*'Jun2026_Settled'!$C$93)^2+'Jun2026_Settled'!$G$42^2))),"")</f>
        <v/>
      </c>
    </row>
    <row r="44">
      <c r="A44" s="86" t="n">
        <v>39</v>
      </c>
      <c r="B44" s="87" t="n">
        <v>0.5593</v>
      </c>
      <c r="C44" s="39">
        <f>IF(ISNUMBER($B44),'Jun2026_Settled'!$C$22+'Jun2026_Settled'!$C$23*$B44,"")</f>
        <v/>
      </c>
      <c r="D44" s="88">
        <f>IF(ISNUMBER($B44),IFERROR(SQRT(('Jun2026_Settled'!$C$23*'Jun2026_Settled'!$C$93)^2+'Jun2026_Settled'!$C$24^2),""),"")</f>
        <v/>
      </c>
      <c r="E44" s="89">
        <f>IF(OR($C44="",$D44="",$D44=0),"",1-NORMSDIST(('Jun2026_Settled'!$C$17-$C44)/$D44))</f>
        <v/>
      </c>
      <c r="F44" s="90">
        <f>IF(ISNUMBER($B44),IF($B44&gt;='Jun2026_Settled'!$C$26,1,0),"")</f>
        <v/>
      </c>
      <c r="G44" s="39">
        <f>IF(ISNUMBER($B44),'Jun2026_Settled'!$C$42+'Jun2026_Settled'!$E$42*$B44,"")</f>
        <v/>
      </c>
      <c r="H44" s="89">
        <f>IFERROR(IF(OR($G44="",'Jun2026_Settled'!$C$93=""),"",1-NORMSDIST(('Jun2026_Settled'!$C$41-$G44)/SQRT(('Jun2026_Settled'!$E$42*'Jun2026_Settled'!$C$93)^2+'Jun2026_Settled'!$G$42^2))),"")</f>
        <v/>
      </c>
    </row>
    <row r="45">
      <c r="A45" s="86" t="n">
        <v>40</v>
      </c>
      <c r="B45" s="87" t="n">
        <v>0.5593</v>
      </c>
      <c r="C45" s="39">
        <f>IF(ISNUMBER($B45),'Jun2026_Settled'!$C$22+'Jun2026_Settled'!$C$23*$B45,"")</f>
        <v/>
      </c>
      <c r="D45" s="88">
        <f>IF(ISNUMBER($B45),IFERROR(SQRT(('Jun2026_Settled'!$C$23*'Jun2026_Settled'!$C$93)^2+'Jun2026_Settled'!$C$24^2),""),"")</f>
        <v/>
      </c>
      <c r="E45" s="89">
        <f>IF(OR($C45="",$D45="",$D45=0),"",1-NORMSDIST(('Jun2026_Settled'!$C$17-$C45)/$D45))</f>
        <v/>
      </c>
      <c r="F45" s="90">
        <f>IF(ISNUMBER($B45),IF($B45&gt;='Jun2026_Settled'!$C$26,1,0),"")</f>
        <v/>
      </c>
      <c r="G45" s="39">
        <f>IF(ISNUMBER($B45),'Jun2026_Settled'!$C$42+'Jun2026_Settled'!$E$42*$B45,"")</f>
        <v/>
      </c>
      <c r="H45" s="89">
        <f>IFERROR(IF(OR($G45="",'Jun2026_Settled'!$C$93=""),"",1-NORMSDIST(('Jun2026_Settled'!$C$41-$G45)/SQRT(('Jun2026_Settled'!$E$42*'Jun2026_Settled'!$C$93)^2+'Jun2026_Settled'!$G$42^2))),"")</f>
        <v/>
      </c>
    </row>
    <row r="46">
      <c r="A46" s="86" t="n">
        <v>41</v>
      </c>
      <c r="B46" s="87" t="n">
        <v>0.5593</v>
      </c>
      <c r="C46" s="39">
        <f>IF(ISNUMBER($B46),'Jun2026_Settled'!$C$22+'Jun2026_Settled'!$C$23*$B46,"")</f>
        <v/>
      </c>
      <c r="D46" s="88">
        <f>IF(ISNUMBER($B46),IFERROR(SQRT(('Jun2026_Settled'!$C$23*'Jun2026_Settled'!$C$93)^2+'Jun2026_Settled'!$C$24^2),""),"")</f>
        <v/>
      </c>
      <c r="E46" s="89">
        <f>IF(OR($C46="",$D46="",$D46=0),"",1-NORMSDIST(('Jun2026_Settled'!$C$17-$C46)/$D46))</f>
        <v/>
      </c>
      <c r="F46" s="90">
        <f>IF(ISNUMBER($B46),IF($B46&gt;='Jun2026_Settled'!$C$26,1,0),"")</f>
        <v/>
      </c>
      <c r="G46" s="39">
        <f>IF(ISNUMBER($B46),'Jun2026_Settled'!$C$42+'Jun2026_Settled'!$E$42*$B46,"")</f>
        <v/>
      </c>
      <c r="H46" s="89">
        <f>IFERROR(IF(OR($G46="",'Jun2026_Settled'!$C$93=""),"",1-NORMSDIST(('Jun2026_Settled'!$C$41-$G46)/SQRT(('Jun2026_Settled'!$E$42*'Jun2026_Settled'!$C$93)^2+'Jun2026_Settled'!$G$42^2))),"")</f>
        <v/>
      </c>
    </row>
    <row r="47">
      <c r="A47" s="86" t="n">
        <v>42</v>
      </c>
      <c r="B47" s="87" t="n">
        <v>0.5593</v>
      </c>
      <c r="C47" s="39">
        <f>IF(ISNUMBER($B47),'Jun2026_Settled'!$C$22+'Jun2026_Settled'!$C$23*$B47,"")</f>
        <v/>
      </c>
      <c r="D47" s="88">
        <f>IF(ISNUMBER($B47),IFERROR(SQRT(('Jun2026_Settled'!$C$23*'Jun2026_Settled'!$C$93)^2+'Jun2026_Settled'!$C$24^2),""),"")</f>
        <v/>
      </c>
      <c r="E47" s="89">
        <f>IF(OR($C47="",$D47="",$D47=0),"",1-NORMSDIST(('Jun2026_Settled'!$C$17-$C47)/$D47))</f>
        <v/>
      </c>
      <c r="F47" s="90">
        <f>IF(ISNUMBER($B47),IF($B47&gt;='Jun2026_Settled'!$C$26,1,0),"")</f>
        <v/>
      </c>
      <c r="G47" s="39">
        <f>IF(ISNUMBER($B47),'Jun2026_Settled'!$C$42+'Jun2026_Settled'!$E$42*$B47,"")</f>
        <v/>
      </c>
      <c r="H47" s="89">
        <f>IFERROR(IF(OR($G47="",'Jun2026_Settled'!$C$93=""),"",1-NORMSDIST(('Jun2026_Settled'!$C$41-$G47)/SQRT(('Jun2026_Settled'!$E$42*'Jun2026_Settled'!$C$93)^2+'Jun2026_Settled'!$G$42^2))),"")</f>
        <v/>
      </c>
    </row>
    <row r="48">
      <c r="A48" s="86" t="n">
        <v>43</v>
      </c>
      <c r="B48" s="87" t="n">
        <v>0.5593</v>
      </c>
      <c r="C48" s="39">
        <f>IF(ISNUMBER($B48),'Jun2026_Settled'!$C$22+'Jun2026_Settled'!$C$23*$B48,"")</f>
        <v/>
      </c>
      <c r="D48" s="88">
        <f>IF(ISNUMBER($B48),IFERROR(SQRT(('Jun2026_Settled'!$C$23*'Jun2026_Settled'!$C$93)^2+'Jun2026_Settled'!$C$24^2),""),"")</f>
        <v/>
      </c>
      <c r="E48" s="89">
        <f>IF(OR($C48="",$D48="",$D48=0),"",1-NORMSDIST(('Jun2026_Settled'!$C$17-$C48)/$D48))</f>
        <v/>
      </c>
      <c r="F48" s="90">
        <f>IF(ISNUMBER($B48),IF($B48&gt;='Jun2026_Settled'!$C$26,1,0),"")</f>
        <v/>
      </c>
      <c r="G48" s="39">
        <f>IF(ISNUMBER($B48),'Jun2026_Settled'!$C$42+'Jun2026_Settled'!$E$42*$B48,"")</f>
        <v/>
      </c>
      <c r="H48" s="89">
        <f>IFERROR(IF(OR($G48="",'Jun2026_Settled'!$C$93=""),"",1-NORMSDIST(('Jun2026_Settled'!$C$41-$G48)/SQRT(('Jun2026_Settled'!$E$42*'Jun2026_Settled'!$C$93)^2+'Jun2026_Settled'!$G$42^2))),"")</f>
        <v/>
      </c>
    </row>
    <row r="49">
      <c r="A49" s="86" t="n">
        <v>44</v>
      </c>
      <c r="B49" s="87" t="n">
        <v>0.5593</v>
      </c>
      <c r="C49" s="39">
        <f>IF(ISNUMBER($B49),'Jun2026_Settled'!$C$22+'Jun2026_Settled'!$C$23*$B49,"")</f>
        <v/>
      </c>
      <c r="D49" s="88">
        <f>IF(ISNUMBER($B49),IFERROR(SQRT(('Jun2026_Settled'!$C$23*'Jun2026_Settled'!$C$93)^2+'Jun2026_Settled'!$C$24^2),""),"")</f>
        <v/>
      </c>
      <c r="E49" s="89">
        <f>IF(OR($C49="",$D49="",$D49=0),"",1-NORMSDIST(('Jun2026_Settled'!$C$17-$C49)/$D49))</f>
        <v/>
      </c>
      <c r="F49" s="90">
        <f>IF(ISNUMBER($B49),IF($B49&gt;='Jun2026_Settled'!$C$26,1,0),"")</f>
        <v/>
      </c>
      <c r="G49" s="39">
        <f>IF(ISNUMBER($B49),'Jun2026_Settled'!$C$42+'Jun2026_Settled'!$E$42*$B49,"")</f>
        <v/>
      </c>
      <c r="H49" s="89">
        <f>IFERROR(IF(OR($G49="",'Jun2026_Settled'!$C$93=""),"",1-NORMSDIST(('Jun2026_Settled'!$C$41-$G49)/SQRT(('Jun2026_Settled'!$E$42*'Jun2026_Settled'!$C$93)^2+'Jun2026_Settled'!$G$42^2))),"")</f>
        <v/>
      </c>
    </row>
    <row r="50">
      <c r="A50" s="86" t="n">
        <v>45</v>
      </c>
      <c r="B50" s="87" t="n">
        <v>0.5593</v>
      </c>
      <c r="C50" s="39">
        <f>IF(ISNUMBER($B50),'Jun2026_Settled'!$C$22+'Jun2026_Settled'!$C$23*$B50,"")</f>
        <v/>
      </c>
      <c r="D50" s="88">
        <f>IF(ISNUMBER($B50),IFERROR(SQRT(('Jun2026_Settled'!$C$23*'Jun2026_Settled'!$C$93)^2+'Jun2026_Settled'!$C$24^2),""),"")</f>
        <v/>
      </c>
      <c r="E50" s="89">
        <f>IF(OR($C50="",$D50="",$D50=0),"",1-NORMSDIST(('Jun2026_Settled'!$C$17-$C50)/$D50))</f>
        <v/>
      </c>
      <c r="F50" s="90">
        <f>IF(ISNUMBER($B50),IF($B50&gt;='Jun2026_Settled'!$C$26,1,0),"")</f>
        <v/>
      </c>
      <c r="G50" s="39">
        <f>IF(ISNUMBER($B50),'Jun2026_Settled'!$C$42+'Jun2026_Settled'!$E$42*$B50,"")</f>
        <v/>
      </c>
      <c r="H50" s="89">
        <f>IFERROR(IF(OR($G50="",'Jun2026_Settled'!$C$93=""),"",1-NORMSDIST(('Jun2026_Settled'!$C$41-$G50)/SQRT(('Jun2026_Settled'!$E$42*'Jun2026_Settled'!$C$93)^2+'Jun2026_Settled'!$G$42^2))),"")</f>
        <v/>
      </c>
    </row>
    <row r="51">
      <c r="A51" s="86" t="n">
        <v>46</v>
      </c>
      <c r="B51" s="87" t="n">
        <v>0.5593</v>
      </c>
      <c r="C51" s="39">
        <f>IF(ISNUMBER($B51),'Jun2026_Settled'!$C$22+'Jun2026_Settled'!$C$23*$B51,"")</f>
        <v/>
      </c>
      <c r="D51" s="88">
        <f>IF(ISNUMBER($B51),IFERROR(SQRT(('Jun2026_Settled'!$C$23*'Jun2026_Settled'!$C$93)^2+'Jun2026_Settled'!$C$24^2),""),"")</f>
        <v/>
      </c>
      <c r="E51" s="89">
        <f>IF(OR($C51="",$D51="",$D51=0),"",1-NORMSDIST(('Jun2026_Settled'!$C$17-$C51)/$D51))</f>
        <v/>
      </c>
      <c r="F51" s="90">
        <f>IF(ISNUMBER($B51),IF($B51&gt;='Jun2026_Settled'!$C$26,1,0),"")</f>
        <v/>
      </c>
      <c r="G51" s="39">
        <f>IF(ISNUMBER($B51),'Jun2026_Settled'!$C$42+'Jun2026_Settled'!$E$42*$B51,"")</f>
        <v/>
      </c>
      <c r="H51" s="89">
        <f>IFERROR(IF(OR($G51="",'Jun2026_Settled'!$C$93=""),"",1-NORMSDIST(('Jun2026_Settled'!$C$41-$G51)/SQRT(('Jun2026_Settled'!$E$42*'Jun2026_Settled'!$C$93)^2+'Jun2026_Settled'!$G$42^2))),"")</f>
        <v/>
      </c>
    </row>
    <row r="52">
      <c r="A52" s="86" t="n">
        <v>47</v>
      </c>
      <c r="B52" s="87" t="n">
        <v>0.5593</v>
      </c>
      <c r="C52" s="39">
        <f>IF(ISNUMBER($B52),'Jun2026_Settled'!$C$22+'Jun2026_Settled'!$C$23*$B52,"")</f>
        <v/>
      </c>
      <c r="D52" s="88">
        <f>IF(ISNUMBER($B52),IFERROR(SQRT(('Jun2026_Settled'!$C$23*'Jun2026_Settled'!$C$93)^2+'Jun2026_Settled'!$C$24^2),""),"")</f>
        <v/>
      </c>
      <c r="E52" s="89">
        <f>IF(OR($C52="",$D52="",$D52=0),"",1-NORMSDIST(('Jun2026_Settled'!$C$17-$C52)/$D52))</f>
        <v/>
      </c>
      <c r="F52" s="90">
        <f>IF(ISNUMBER($B52),IF($B52&gt;='Jun2026_Settled'!$C$26,1,0),"")</f>
        <v/>
      </c>
      <c r="G52" s="39">
        <f>IF(ISNUMBER($B52),'Jun2026_Settled'!$C$42+'Jun2026_Settled'!$E$42*$B52,"")</f>
        <v/>
      </c>
      <c r="H52" s="89">
        <f>IFERROR(IF(OR($G52="",'Jun2026_Settled'!$C$93=""),"",1-NORMSDIST(('Jun2026_Settled'!$C$41-$G52)/SQRT(('Jun2026_Settled'!$E$42*'Jun2026_Settled'!$C$93)^2+'Jun2026_Settled'!$G$42^2))),"")</f>
        <v/>
      </c>
    </row>
    <row r="53">
      <c r="A53" s="86" t="n">
        <v>48</v>
      </c>
      <c r="B53" s="87" t="n">
        <v>0.5593</v>
      </c>
      <c r="C53" s="39">
        <f>IF(ISNUMBER($B53),'Jun2026_Settled'!$C$22+'Jun2026_Settled'!$C$23*$B53,"")</f>
        <v/>
      </c>
      <c r="D53" s="88">
        <f>IF(ISNUMBER($B53),IFERROR(SQRT(('Jun2026_Settled'!$C$23*'Jun2026_Settled'!$C$93)^2+'Jun2026_Settled'!$C$24^2),""),"")</f>
        <v/>
      </c>
      <c r="E53" s="89">
        <f>IF(OR($C53="",$D53="",$D53=0),"",1-NORMSDIST(('Jun2026_Settled'!$C$17-$C53)/$D53))</f>
        <v/>
      </c>
      <c r="F53" s="90">
        <f>IF(ISNUMBER($B53),IF($B53&gt;='Jun2026_Settled'!$C$26,1,0),"")</f>
        <v/>
      </c>
      <c r="G53" s="39">
        <f>IF(ISNUMBER($B53),'Jun2026_Settled'!$C$42+'Jun2026_Settled'!$E$42*$B53,"")</f>
        <v/>
      </c>
      <c r="H53" s="89">
        <f>IFERROR(IF(OR($G53="",'Jun2026_Settled'!$C$93=""),"",1-NORMSDIST(('Jun2026_Settled'!$C$41-$G53)/SQRT(('Jun2026_Settled'!$E$42*'Jun2026_Settled'!$C$93)^2+'Jun2026_Settled'!$G$42^2))),"")</f>
        <v/>
      </c>
    </row>
    <row r="54">
      <c r="A54" s="86" t="n">
        <v>49</v>
      </c>
      <c r="B54" s="87" t="n">
        <v>0.5593</v>
      </c>
      <c r="C54" s="39">
        <f>IF(ISNUMBER($B54),'Jun2026_Settled'!$C$22+'Jun2026_Settled'!$C$23*$B54,"")</f>
        <v/>
      </c>
      <c r="D54" s="88">
        <f>IF(ISNUMBER($B54),IFERROR(SQRT(('Jun2026_Settled'!$C$23*'Jun2026_Settled'!$C$93)^2+'Jun2026_Settled'!$C$24^2),""),"")</f>
        <v/>
      </c>
      <c r="E54" s="89">
        <f>IF(OR($C54="",$D54="",$D54=0),"",1-NORMSDIST(('Jun2026_Settled'!$C$17-$C54)/$D54))</f>
        <v/>
      </c>
      <c r="F54" s="90">
        <f>IF(ISNUMBER($B54),IF($B54&gt;='Jun2026_Settled'!$C$26,1,0),"")</f>
        <v/>
      </c>
      <c r="G54" s="39">
        <f>IF(ISNUMBER($B54),'Jun2026_Settled'!$C$42+'Jun2026_Settled'!$E$42*$B54,"")</f>
        <v/>
      </c>
      <c r="H54" s="89">
        <f>IFERROR(IF(OR($G54="",'Jun2026_Settled'!$C$93=""),"",1-NORMSDIST(('Jun2026_Settled'!$C$41-$G54)/SQRT(('Jun2026_Settled'!$E$42*'Jun2026_Settled'!$C$93)^2+'Jun2026_Settled'!$G$42^2))),"")</f>
        <v/>
      </c>
    </row>
    <row r="55">
      <c r="A55" s="86" t="n">
        <v>50</v>
      </c>
      <c r="B55" s="87" t="n">
        <v>0.5593</v>
      </c>
      <c r="C55" s="39">
        <f>IF(ISNUMBER($B55),'Jun2026_Settled'!$C$22+'Jun2026_Settled'!$C$23*$B55,"")</f>
        <v/>
      </c>
      <c r="D55" s="88">
        <f>IF(ISNUMBER($B55),IFERROR(SQRT(('Jun2026_Settled'!$C$23*'Jun2026_Settled'!$C$93)^2+'Jun2026_Settled'!$C$24^2),""),"")</f>
        <v/>
      </c>
      <c r="E55" s="89">
        <f>IF(OR($C55="",$D55="",$D55=0),"",1-NORMSDIST(('Jun2026_Settled'!$C$17-$C55)/$D55))</f>
        <v/>
      </c>
      <c r="F55" s="90">
        <f>IF(ISNUMBER($B55),IF($B55&gt;='Jun2026_Settled'!$C$26,1,0),"")</f>
        <v/>
      </c>
      <c r="G55" s="39">
        <f>IF(ISNUMBER($B55),'Jun2026_Settled'!$C$42+'Jun2026_Settled'!$E$42*$B55,"")</f>
        <v/>
      </c>
      <c r="H55" s="89">
        <f>IFERROR(IF(OR($G55="",'Jun2026_Settled'!$C$93=""),"",1-NORMSDIST(('Jun2026_Settled'!$C$41-$G55)/SQRT(('Jun2026_Settled'!$E$42*'Jun2026_Settled'!$C$93)^2+'Jun2026_Settled'!$G$42^2))),"")</f>
        <v/>
      </c>
    </row>
    <row r="56">
      <c r="A56" s="86" t="n">
        <v>51</v>
      </c>
      <c r="B56" s="87" t="n">
        <v>0.5593</v>
      </c>
      <c r="C56" s="39">
        <f>IF(ISNUMBER($B56),'Jun2026_Settled'!$C$22+'Jun2026_Settled'!$C$23*$B56,"")</f>
        <v/>
      </c>
      <c r="D56" s="88">
        <f>IF(ISNUMBER($B56),IFERROR(SQRT(('Jun2026_Settled'!$C$23*'Jun2026_Settled'!$C$93)^2+'Jun2026_Settled'!$C$24^2),""),"")</f>
        <v/>
      </c>
      <c r="E56" s="89">
        <f>IF(OR($C56="",$D56="",$D56=0),"",1-NORMSDIST(('Jun2026_Settled'!$C$17-$C56)/$D56))</f>
        <v/>
      </c>
      <c r="F56" s="90">
        <f>IF(ISNUMBER($B56),IF($B56&gt;='Jun2026_Settled'!$C$26,1,0),"")</f>
        <v/>
      </c>
      <c r="G56" s="39">
        <f>IF(ISNUMBER($B56),'Jun2026_Settled'!$C$42+'Jun2026_Settled'!$E$42*$B56,"")</f>
        <v/>
      </c>
      <c r="H56" s="89">
        <f>IFERROR(IF(OR($G56="",'Jun2026_Settled'!$C$93=""),"",1-NORMSDIST(('Jun2026_Settled'!$C$41-$G56)/SQRT(('Jun2026_Settled'!$E$42*'Jun2026_Settled'!$C$93)^2+'Jun2026_Settled'!$G$42^2))),"")</f>
        <v/>
      </c>
    </row>
    <row r="58">
      <c r="A58" s="13" t="inlineStr">
        <is>
          <t>Members loaded</t>
        </is>
      </c>
      <c r="B58" s="23">
        <f>COUNT($B$6:$B$56)</f>
        <v/>
      </c>
    </row>
    <row r="59">
      <c r="A59" s="13" t="inlineStr">
        <is>
          <t>Median member ERA5</t>
        </is>
      </c>
      <c r="B59" s="26">
        <f>IFERROR(MEDIAN($B$6:$B$56),"")</f>
        <v/>
      </c>
    </row>
    <row r="60">
      <c r="A60" s="13" t="inlineStr">
        <is>
          <t>Member spread σ (zero by construction)</t>
        </is>
      </c>
      <c r="B60" s="26">
        <f>IFERROR(STDEV($B$6:$B$56),"")</f>
        <v/>
      </c>
    </row>
    <row r="61">
      <c r="A61" s="13" t="inlineStr">
        <is>
          <t>Members breaching the record</t>
        </is>
      </c>
      <c r="B61" s="23">
        <f>IFERROR(SUM($F$6:$F$56),"")</f>
        <v/>
      </c>
    </row>
    <row r="64">
      <c r="A64" s="91" t="inlineStr">
        <is>
          <t>P(YES) ENSEMBLE — NOAA  ▶ headline</t>
        </is>
      </c>
      <c r="E64" s="92">
        <f>IFERROR(AVERAGE($E$6:$E$56),"")</f>
        <v/>
      </c>
      <c r="G64" s="12" t="inlineStr">
        <is>
          <t>P(YES) GISTEMP ▶</t>
        </is>
      </c>
      <c r="H64" s="92">
        <f>IFERROR(AVERAGE($H$6:$H$56),"")</f>
        <v/>
      </c>
    </row>
    <row r="66">
      <c r="A66" s="84" t="inlineStr">
        <is>
          <t>Member-average of per-member tail probabilities. With zero remaining uncertainty this equals the single-path Normal value — as it must.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1" customWidth="1" min="3" max="3"/>
    <col width="26" customWidth="1" min="4" max="4"/>
    <col width="20" customWidth="1" min="5" max="5"/>
    <col width="30" customWidth="1" min="6" max="6"/>
    <col width="46" customWidth="1" min="7" max="7"/>
  </cols>
  <sheetData>
    <row r="1">
      <c r="A1" s="83" t="inlineStr">
        <is>
          <t>FORECAST-RUN LOG — June (retrospective; per-run archive unavailable)</t>
        </is>
      </c>
    </row>
    <row r="2">
      <c r="A2" s="84" t="inlineStr">
        <is>
          <t>The live forecast_log only begins 2026-07-09, so June has no run-by-run history. The single row below records the ONE archived retrieval used to fill the daily ECMWF column.</t>
        </is>
      </c>
    </row>
    <row r="3">
      <c r="A3" s="85" t="inlineStr">
        <is>
          <t>In a live month this tab is the lead-time edge: a rising remaining-days mean is an early buy-YES signal; a price spike with no new high here is a fade signal.</t>
        </is>
      </c>
    </row>
    <row r="5">
      <c r="A5" s="75" t="inlineStr">
        <is>
          <t>Pulled (UTC)</t>
        </is>
      </c>
      <c r="B5" s="75" t="inlineStr">
        <is>
          <t>Model</t>
        </is>
      </c>
      <c r="C5" s="75" t="inlineStr">
        <is>
          <t>Run cycle</t>
        </is>
      </c>
      <c r="D5" s="75" t="inlineStr">
        <is>
          <t>Remaining-days mean anomaly °C</t>
        </is>
      </c>
      <c r="E5" s="75" t="inlineStr">
        <is>
          <t>Δ vs prior same model</t>
        </is>
      </c>
      <c r="F5" s="75" t="inlineStr">
        <is>
          <t>Signal</t>
        </is>
      </c>
      <c r="G5" s="75" t="inlineStr">
        <is>
          <t>Note</t>
        </is>
      </c>
    </row>
    <row r="6">
      <c r="A6" s="37" t="inlineStr">
        <is>
          <t>2026-07-25 (retrospective)</t>
        </is>
      </c>
      <c r="B6" s="37" t="inlineStr">
        <is>
          <t>ECMWF-arch</t>
        </is>
      </c>
      <c r="C6" s="37" t="inlineStr">
        <is>
          <t>archive</t>
        </is>
      </c>
      <c r="D6" s="36" t="n">
        <v>0.628</v>
      </c>
      <c r="E6" s="93" t="n"/>
      <c r="F6" s="94">
        <f>IF($E6="","",IF($E6&gt;0.03,"▲ SURGE ENTERING",IF($E6&lt;-0.03,"▼ COOLING","flat")))</f>
        <v/>
      </c>
      <c r="G6" s="37" t="inlineStr">
        <is>
          <t>Open-Meteo Historical-Forecast API, 15° cos-weighted grid, whole-month mean. Short lead — not a true multi-day forecast.</t>
        </is>
      </c>
    </row>
    <row r="7">
      <c r="A7" s="95" t="n"/>
      <c r="B7" s="95" t="n"/>
      <c r="C7" s="95" t="n"/>
      <c r="D7" s="96" t="n"/>
      <c r="E7" s="93">
        <f>IF($D7="","",IFERROR($D7-LOOKUP(2,1/($B$6:$B6=$B7),$D$6:$D6),""))</f>
        <v/>
      </c>
      <c r="F7" s="94">
        <f>IF($E7="","",IF($E7&gt;0.03,"▲ SURGE ENTERING",IF($E7&lt;-0.03,"▼ COOLING","flat")))</f>
        <v/>
      </c>
      <c r="G7" s="95" t="n"/>
    </row>
    <row r="8">
      <c r="A8" s="95" t="n"/>
      <c r="B8" s="95" t="n"/>
      <c r="C8" s="95" t="n"/>
      <c r="D8" s="96" t="n"/>
      <c r="E8" s="93">
        <f>IF($D8="","",IFERROR($D8-LOOKUP(2,1/($B$6:$B7=$B8),$D$6:$D7),""))</f>
        <v/>
      </c>
      <c r="F8" s="94">
        <f>IF($E8="","",IF($E8&gt;0.03,"▲ SURGE ENTERING",IF($E8&lt;-0.03,"▼ COOLING","flat")))</f>
        <v/>
      </c>
      <c r="G8" s="95" t="n"/>
    </row>
    <row r="9">
      <c r="A9" s="95" t="n"/>
      <c r="B9" s="95" t="n"/>
      <c r="C9" s="95" t="n"/>
      <c r="D9" s="96" t="n"/>
      <c r="E9" s="93">
        <f>IF($D9="","",IFERROR($D9-LOOKUP(2,1/($B$6:$B8=$B9),$D$6:$D8),""))</f>
        <v/>
      </c>
      <c r="F9" s="94">
        <f>IF($E9="","",IF($E9&gt;0.03,"▲ SURGE ENTERING",IF($E9&lt;-0.03,"▼ COOLING","flat")))</f>
        <v/>
      </c>
      <c r="G9" s="95" t="n"/>
    </row>
    <row r="10">
      <c r="A10" s="95" t="n"/>
      <c r="B10" s="95" t="n"/>
      <c r="C10" s="95" t="n"/>
      <c r="D10" s="96" t="n"/>
      <c r="E10" s="93">
        <f>IF($D10="","",IFERROR($D10-LOOKUP(2,1/($B$6:$B9=$B10),$D$6:$D9),""))</f>
        <v/>
      </c>
      <c r="F10" s="94">
        <f>IF($E10="","",IF($E10&gt;0.03,"▲ SURGE ENTERING",IF($E10&lt;-0.03,"▼ COOLING","flat")))</f>
        <v/>
      </c>
      <c r="G10" s="95" t="n"/>
    </row>
    <row r="11">
      <c r="A11" s="95" t="n"/>
      <c r="B11" s="95" t="n"/>
      <c r="C11" s="95" t="n"/>
      <c r="D11" s="96" t="n"/>
      <c r="E11" s="93">
        <f>IF($D11="","",IFERROR($D11-LOOKUP(2,1/($B$6:$B10=$B11),$D$6:$D10),""))</f>
        <v/>
      </c>
      <c r="F11" s="94">
        <f>IF($E11="","",IF($E11&gt;0.03,"▲ SURGE ENTERING",IF($E11&lt;-0.03,"▼ COOLING","flat")))</f>
        <v/>
      </c>
      <c r="G11" s="95" t="n"/>
    </row>
    <row r="12">
      <c r="A12" s="95" t="n"/>
      <c r="B12" s="95" t="n"/>
      <c r="C12" s="95" t="n"/>
      <c r="D12" s="96" t="n"/>
      <c r="E12" s="93">
        <f>IF($D12="","",IFERROR($D12-LOOKUP(2,1/($B$6:$B11=$B12),$D$6:$D11),""))</f>
        <v/>
      </c>
      <c r="F12" s="94">
        <f>IF($E12="","",IF($E12&gt;0.03,"▲ SURGE ENTERING",IF($E12&lt;-0.03,"▼ COOLING","flat")))</f>
        <v/>
      </c>
      <c r="G12" s="95" t="n"/>
    </row>
    <row r="13">
      <c r="A13" s="95" t="n"/>
      <c r="B13" s="95" t="n"/>
      <c r="C13" s="95" t="n"/>
      <c r="D13" s="96" t="n"/>
      <c r="E13" s="93">
        <f>IF($D13="","",IFERROR($D13-LOOKUP(2,1/($B$6:$B12=$B13),$D$6:$D12),""))</f>
        <v/>
      </c>
      <c r="F13" s="94">
        <f>IF($E13="","",IF($E13&gt;0.03,"▲ SURGE ENTERING",IF($E13&lt;-0.03,"▼ COOLING","flat")))</f>
        <v/>
      </c>
      <c r="G13" s="95" t="n"/>
    </row>
    <row r="14">
      <c r="A14" s="95" t="n"/>
      <c r="B14" s="95" t="n"/>
      <c r="C14" s="95" t="n"/>
      <c r="D14" s="96" t="n"/>
      <c r="E14" s="93">
        <f>IF($D14="","",IFERROR($D14-LOOKUP(2,1/($B$6:$B13=$B14),$D$6:$D13),""))</f>
        <v/>
      </c>
      <c r="F14" s="94">
        <f>IF($E14="","",IF($E14&gt;0.03,"▲ SURGE ENTERING",IF($E14&lt;-0.03,"▼ COOLING","flat")))</f>
        <v/>
      </c>
      <c r="G14" s="95" t="n"/>
    </row>
    <row r="15">
      <c r="A15" s="95" t="n"/>
      <c r="B15" s="95" t="n"/>
      <c r="C15" s="95" t="n"/>
      <c r="D15" s="96" t="n"/>
      <c r="E15" s="93">
        <f>IF($D15="","",IFERROR($D15-LOOKUP(2,1/($B$6:$B14=$B15),$D$6:$D14),""))</f>
        <v/>
      </c>
      <c r="F15" s="94">
        <f>IF($E15="","",IF($E15&gt;0.03,"▲ SURGE ENTERING",IF($E15&lt;-0.03,"▼ COOLING","flat")))</f>
        <v/>
      </c>
      <c r="G15" s="95" t="n"/>
    </row>
    <row r="16">
      <c r="A16" s="95" t="n"/>
      <c r="B16" s="95" t="n"/>
      <c r="C16" s="95" t="n"/>
      <c r="D16" s="96" t="n"/>
      <c r="E16" s="93">
        <f>IF($D16="","",IFERROR($D16-LOOKUP(2,1/($B$6:$B15=$B16),$D$6:$D15),""))</f>
        <v/>
      </c>
      <c r="F16" s="94">
        <f>IF($E16="","",IF($E16&gt;0.03,"▲ SURGE ENTERING",IF($E16&lt;-0.03,"▼ COOLING","flat")))</f>
        <v/>
      </c>
      <c r="G16" s="95" t="n"/>
    </row>
    <row r="17">
      <c r="A17" s="95" t="n"/>
      <c r="B17" s="95" t="n"/>
      <c r="C17" s="95" t="n"/>
      <c r="D17" s="96" t="n"/>
      <c r="E17" s="93">
        <f>IF($D17="","",IFERROR($D17-LOOKUP(2,1/($B$6:$B16=$B17),$D$6:$D16),""))</f>
        <v/>
      </c>
      <c r="F17" s="94">
        <f>IF($E17="","",IF($E17&gt;0.03,"▲ SURGE ENTERING",IF($E17&lt;-0.03,"▼ COOLING","flat")))</f>
        <v/>
      </c>
      <c r="G17" s="95" t="n"/>
    </row>
    <row r="18">
      <c r="A18" s="95" t="n"/>
      <c r="B18" s="95" t="n"/>
      <c r="C18" s="95" t="n"/>
      <c r="D18" s="96" t="n"/>
      <c r="E18" s="93">
        <f>IF($D18="","",IFERROR($D18-LOOKUP(2,1/($B$6:$B17=$B18),$D$6:$D17),""))</f>
        <v/>
      </c>
      <c r="F18" s="94">
        <f>IF($E18="","",IF($E18&gt;0.03,"▲ SURGE ENTERING",IF($E18&lt;-0.03,"▼ COOLING","flat")))</f>
        <v/>
      </c>
      <c r="G18" s="95" t="n"/>
    </row>
    <row r="19">
      <c r="A19" s="95" t="n"/>
      <c r="B19" s="95" t="n"/>
      <c r="C19" s="95" t="n"/>
      <c r="D19" s="96" t="n"/>
      <c r="E19" s="93">
        <f>IF($D19="","",IFERROR($D19-LOOKUP(2,1/($B$6:$B18=$B19),$D$6:$D18),""))</f>
        <v/>
      </c>
      <c r="F19" s="94">
        <f>IF($E19="","",IF($E19&gt;0.03,"▲ SURGE ENTERING",IF($E19&lt;-0.03,"▼ COOLING","flat")))</f>
        <v/>
      </c>
      <c r="G19" s="95" t="n"/>
    </row>
    <row r="20">
      <c r="A20" s="95" t="n"/>
      <c r="B20" s="95" t="n"/>
      <c r="C20" s="95" t="n"/>
      <c r="D20" s="96" t="n"/>
      <c r="E20" s="93">
        <f>IF($D20="","",IFERROR($D20-LOOKUP(2,1/($B$6:$B19=$B20),$D$6:$D19),""))</f>
        <v/>
      </c>
      <c r="F20" s="94">
        <f>IF($E20="","",IF($E20&gt;0.03,"▲ SURGE ENTERING",IF($E20&lt;-0.03,"▼ COOLING","flat")))</f>
        <v/>
      </c>
      <c r="G20" s="95" t="n"/>
    </row>
    <row r="21">
      <c r="A21" s="95" t="n"/>
      <c r="B21" s="95" t="n"/>
      <c r="C21" s="95" t="n"/>
      <c r="D21" s="96" t="n"/>
      <c r="E21" s="93">
        <f>IF($D21="","",IFERROR($D21-LOOKUP(2,1/($B$6:$B20=$B21),$D$6:$D20),""))</f>
        <v/>
      </c>
      <c r="F21" s="94">
        <f>IF($E21="","",IF($E21&gt;0.03,"▲ SURGE ENTERING",IF($E21&lt;-0.03,"▼ COOLING","flat")))</f>
        <v/>
      </c>
      <c r="G21" s="95" t="n"/>
    </row>
    <row r="22">
      <c r="A22" s="95" t="n"/>
      <c r="B22" s="95" t="n"/>
      <c r="C22" s="95" t="n"/>
      <c r="D22" s="96" t="n"/>
      <c r="E22" s="93">
        <f>IF($D22="","",IFERROR($D22-LOOKUP(2,1/($B$6:$B21=$B22),$D$6:$D21),""))</f>
        <v/>
      </c>
      <c r="F22" s="94">
        <f>IF($E22="","",IF($E22&gt;0.03,"▲ SURGE ENTERING",IF($E22&lt;-0.03,"▼ COOLING","flat")))</f>
        <v/>
      </c>
      <c r="G22" s="95" t="n"/>
    </row>
    <row r="23">
      <c r="A23" s="95" t="n"/>
      <c r="B23" s="95" t="n"/>
      <c r="C23" s="95" t="n"/>
      <c r="D23" s="96" t="n"/>
      <c r="E23" s="93">
        <f>IF($D23="","",IFERROR($D23-LOOKUP(2,1/($B$6:$B22=$B23),$D$6:$D22),""))</f>
        <v/>
      </c>
      <c r="F23" s="94">
        <f>IF($E23="","",IF($E23&gt;0.03,"▲ SURGE ENTERING",IF($E23&lt;-0.03,"▼ COOLING","flat")))</f>
        <v/>
      </c>
      <c r="G23" s="95" t="n"/>
    </row>
    <row r="24">
      <c r="A24" s="95" t="n"/>
      <c r="B24" s="95" t="n"/>
      <c r="C24" s="95" t="n"/>
      <c r="D24" s="96" t="n"/>
      <c r="E24" s="93">
        <f>IF($D24="","",IFERROR($D24-LOOKUP(2,1/($B$6:$B23=$B24),$D$6:$D23),""))</f>
        <v/>
      </c>
      <c r="F24" s="94">
        <f>IF($E24="","",IF($E24&gt;0.03,"▲ SURGE ENTERING",IF($E24&lt;-0.03,"▼ COOLING","flat")))</f>
        <v/>
      </c>
      <c r="G24" s="95" t="n"/>
    </row>
    <row r="25">
      <c r="A25" s="95" t="n"/>
      <c r="B25" s="95" t="n"/>
      <c r="C25" s="95" t="n"/>
      <c r="D25" s="96" t="n"/>
      <c r="E25" s="93">
        <f>IF($D25="","",IFERROR($D25-LOOKUP(2,1/($B$6:$B24=$B25),$D$6:$D24),""))</f>
        <v/>
      </c>
      <c r="F25" s="94">
        <f>IF($E25="","",IF($E25&gt;0.03,"▲ SURGE ENTERING",IF($E25&lt;-0.03,"▼ COOLING","flat")))</f>
        <v/>
      </c>
      <c r="G25" s="95" t="n"/>
    </row>
    <row r="26">
      <c r="A26" s="95" t="n"/>
      <c r="B26" s="95" t="n"/>
      <c r="C26" s="95" t="n"/>
      <c r="D26" s="96" t="n"/>
      <c r="E26" s="93">
        <f>IF($D26="","",IFERROR($D26-LOOKUP(2,1/($B$6:$B25=$B26),$D$6:$D25),""))</f>
        <v/>
      </c>
      <c r="F26" s="94">
        <f>IF($E26="","",IF($E26&gt;0.03,"▲ SURGE ENTERING",IF($E26&lt;-0.03,"▼ COOLING","flat")))</f>
        <v/>
      </c>
      <c r="G26" s="95" t="n"/>
    </row>
    <row r="27">
      <c r="A27" s="95" t="n"/>
      <c r="B27" s="95" t="n"/>
      <c r="C27" s="95" t="n"/>
      <c r="D27" s="96" t="n"/>
      <c r="E27" s="93">
        <f>IF($D27="","",IFERROR($D27-LOOKUP(2,1/($B$6:$B26=$B27),$D$6:$D26),""))</f>
        <v/>
      </c>
      <c r="F27" s="94">
        <f>IF($E27="","",IF($E27&gt;0.03,"▲ SURGE ENTERING",IF($E27&lt;-0.03,"▼ COOLING","flat")))</f>
        <v/>
      </c>
      <c r="G27" s="95" t="n"/>
    </row>
    <row r="28">
      <c r="A28" s="95" t="n"/>
      <c r="B28" s="95" t="n"/>
      <c r="C28" s="95" t="n"/>
      <c r="D28" s="96" t="n"/>
      <c r="E28" s="93">
        <f>IF($D28="","",IFERROR($D28-LOOKUP(2,1/($B$6:$B27=$B28),$D$6:$D27),""))</f>
        <v/>
      </c>
      <c r="F28" s="94">
        <f>IF($E28="","",IF($E28&gt;0.03,"▲ SURGE ENTERING",IF($E28&lt;-0.03,"▼ COOLING","flat")))</f>
        <v/>
      </c>
      <c r="G28" s="95" t="n"/>
    </row>
    <row r="29">
      <c r="A29" s="95" t="n"/>
      <c r="B29" s="95" t="n"/>
      <c r="C29" s="95" t="n"/>
      <c r="D29" s="96" t="n"/>
      <c r="E29" s="93">
        <f>IF($D29="","",IFERROR($D29-LOOKUP(2,1/($B$6:$B28=$B29),$D$6:$D28),""))</f>
        <v/>
      </c>
      <c r="F29" s="94">
        <f>IF($E29="","",IF($E29&gt;0.03,"▲ SURGE ENTERING",IF($E29&lt;-0.03,"▼ COOLING","flat")))</f>
        <v/>
      </c>
      <c r="G29" s="95" t="n"/>
    </row>
    <row r="30">
      <c r="A30" s="95" t="n"/>
      <c r="B30" s="95" t="n"/>
      <c r="C30" s="95" t="n"/>
      <c r="D30" s="96" t="n"/>
      <c r="E30" s="93">
        <f>IF($D30="","",IFERROR($D30-LOOKUP(2,1/($B$6:$B29=$B30),$D$6:$D29),""))</f>
        <v/>
      </c>
      <c r="F30" s="94">
        <f>IF($E30="","",IF($E30&gt;0.03,"▲ SURGE ENTERING",IF($E30&lt;-0.03,"▼ COOLING","flat")))</f>
        <v/>
      </c>
      <c r="G30" s="95" t="n"/>
    </row>
    <row r="31">
      <c r="A31" s="95" t="n"/>
      <c r="B31" s="95" t="n"/>
      <c r="C31" s="95" t="n"/>
      <c r="D31" s="96" t="n"/>
      <c r="E31" s="93">
        <f>IF($D31="","",IFERROR($D31-LOOKUP(2,1/($B$6:$B30=$B31),$D$6:$D30),""))</f>
        <v/>
      </c>
      <c r="F31" s="94">
        <f>IF($E31="","",IF($E31&gt;0.03,"▲ SURGE ENTERING",IF($E31&lt;-0.03,"▼ COOLING","flat")))</f>
        <v/>
      </c>
      <c r="G31" s="95" t="n"/>
    </row>
    <row r="32">
      <c r="A32" s="95" t="n"/>
      <c r="B32" s="95" t="n"/>
      <c r="C32" s="95" t="n"/>
      <c r="D32" s="96" t="n"/>
      <c r="E32" s="93">
        <f>IF($D32="","",IFERROR($D32-LOOKUP(2,1/($B$6:$B31=$B32),$D$6:$D31),""))</f>
        <v/>
      </c>
      <c r="F32" s="94">
        <f>IF($E32="","",IF($E32&gt;0.03,"▲ SURGE ENTERING",IF($E32&lt;-0.03,"▼ COOLING","flat")))</f>
        <v/>
      </c>
      <c r="G32" s="95" t="n"/>
    </row>
    <row r="33">
      <c r="A33" s="95" t="n"/>
      <c r="B33" s="95" t="n"/>
      <c r="C33" s="95" t="n"/>
      <c r="D33" s="96" t="n"/>
      <c r="E33" s="93">
        <f>IF($D33="","",IFERROR($D33-LOOKUP(2,1/($B$6:$B32=$B33),$D$6:$D32),""))</f>
        <v/>
      </c>
      <c r="F33" s="94">
        <f>IF($E33="","",IF($E33&gt;0.03,"▲ SURGE ENTERING",IF($E33&lt;-0.03,"▼ COOLING","flat")))</f>
        <v/>
      </c>
      <c r="G33" s="95" t="n"/>
    </row>
    <row r="34">
      <c r="A34" s="95" t="n"/>
      <c r="B34" s="95" t="n"/>
      <c r="C34" s="95" t="n"/>
      <c r="D34" s="96" t="n"/>
      <c r="E34" s="93">
        <f>IF($D34="","",IFERROR($D34-LOOKUP(2,1/($B$6:$B33=$B34),$D$6:$D33),""))</f>
        <v/>
      </c>
      <c r="F34" s="94">
        <f>IF($E34="","",IF($E34&gt;0.03,"▲ SURGE ENTERING",IF($E34&lt;-0.03,"▼ COOLING","flat")))</f>
        <v/>
      </c>
      <c r="G34" s="95" t="n"/>
    </row>
    <row r="35">
      <c r="A35" s="95" t="n"/>
      <c r="B35" s="95" t="n"/>
      <c r="C35" s="95" t="n"/>
      <c r="D35" s="96" t="n"/>
      <c r="E35" s="93">
        <f>IF($D35="","",IFERROR($D35-LOOKUP(2,1/($B$6:$B34=$B35),$D$6:$D34),""))</f>
        <v/>
      </c>
      <c r="F35" s="94">
        <f>IF($E35="","",IF($E35&gt;0.03,"▲ SURGE ENTERING",IF($E35&lt;-0.03,"▼ COOLING","flat")))</f>
        <v/>
      </c>
      <c r="G35" s="95" t="n"/>
    </row>
    <row r="36">
      <c r="A36" s="95" t="n"/>
      <c r="B36" s="95" t="n"/>
      <c r="C36" s="95" t="n"/>
      <c r="D36" s="96" t="n"/>
      <c r="E36" s="93">
        <f>IF($D36="","",IFERROR($D36-LOOKUP(2,1/($B$6:$B35=$B36),$D$6:$D35),""))</f>
        <v/>
      </c>
      <c r="F36" s="94">
        <f>IF($E36="","",IF($E36&gt;0.03,"▲ SURGE ENTERING",IF($E36&lt;-0.03,"▼ COOLING","flat")))</f>
        <v/>
      </c>
      <c r="G36" s="95" t="n"/>
    </row>
    <row r="37">
      <c r="A37" s="95" t="n"/>
      <c r="B37" s="95" t="n"/>
      <c r="C37" s="95" t="n"/>
      <c r="D37" s="96" t="n"/>
      <c r="E37" s="93">
        <f>IF($D37="","",IFERROR($D37-LOOKUP(2,1/($B$6:$B36=$B37),$D$6:$D36),""))</f>
        <v/>
      </c>
      <c r="F37" s="94">
        <f>IF($E37="","",IF($E37&gt;0.03,"▲ SURGE ENTERING",IF($E37&lt;-0.03,"▼ COOLING","flat")))</f>
        <v/>
      </c>
      <c r="G37" s="95" t="n"/>
    </row>
    <row r="38">
      <c r="A38" s="95" t="n"/>
      <c r="B38" s="95" t="n"/>
      <c r="C38" s="95" t="n"/>
      <c r="D38" s="96" t="n"/>
      <c r="E38" s="93">
        <f>IF($D38="","",IFERROR($D38-LOOKUP(2,1/($B$6:$B37=$B38),$D$6:$D37),""))</f>
        <v/>
      </c>
      <c r="F38" s="94">
        <f>IF($E38="","",IF($E38&gt;0.03,"▲ SURGE ENTERING",IF($E38&lt;-0.03,"▼ COOLING","flat")))</f>
        <v/>
      </c>
      <c r="G38" s="95" t="n"/>
    </row>
    <row r="39">
      <c r="A39" s="95" t="n"/>
      <c r="B39" s="95" t="n"/>
      <c r="C39" s="95" t="n"/>
      <c r="D39" s="96" t="n"/>
      <c r="E39" s="93">
        <f>IF($D39="","",IFERROR($D39-LOOKUP(2,1/($B$6:$B38=$B39),$D$6:$D38),""))</f>
        <v/>
      </c>
      <c r="F39" s="94">
        <f>IF($E39="","",IF($E39&gt;0.03,"▲ SURGE ENTERING",IF($E39&lt;-0.03,"▼ COOLING","flat")))</f>
        <v/>
      </c>
      <c r="G39" s="95" t="n"/>
    </row>
    <row r="40">
      <c r="A40" s="95" t="n"/>
      <c r="B40" s="95" t="n"/>
      <c r="C40" s="95" t="n"/>
      <c r="D40" s="96" t="n"/>
      <c r="E40" s="93">
        <f>IF($D40="","",IFERROR($D40-LOOKUP(2,1/($B$6:$B39=$B40),$D$6:$D39),""))</f>
        <v/>
      </c>
      <c r="F40" s="94">
        <f>IF($E40="","",IF($E40&gt;0.03,"▲ SURGE ENTERING",IF($E40&lt;-0.03,"▼ COOLING","flat")))</f>
        <v/>
      </c>
      <c r="G40" s="95" t="n"/>
    </row>
    <row r="41">
      <c r="A41" s="95" t="n"/>
      <c r="B41" s="95" t="n"/>
      <c r="C41" s="95" t="n"/>
      <c r="D41" s="96" t="n"/>
      <c r="E41" s="93">
        <f>IF($D41="","",IFERROR($D41-LOOKUP(2,1/($B$6:$B40=$B41),$D$6:$D40),""))</f>
        <v/>
      </c>
      <c r="F41" s="94">
        <f>IF($E41="","",IF($E41&gt;0.03,"▲ SURGE ENTERING",IF($E41&lt;-0.03,"▼ COOLING","flat")))</f>
        <v/>
      </c>
      <c r="G41" s="95" t="n"/>
    </row>
    <row r="42">
      <c r="A42" s="95" t="n"/>
      <c r="B42" s="95" t="n"/>
      <c r="C42" s="95" t="n"/>
      <c r="D42" s="96" t="n"/>
      <c r="E42" s="93">
        <f>IF($D42="","",IFERROR($D42-LOOKUP(2,1/($B$6:$B41=$B42),$D$6:$D41),""))</f>
        <v/>
      </c>
      <c r="F42" s="94">
        <f>IF($E42="","",IF($E42&gt;0.03,"▲ SURGE ENTERING",IF($E42&lt;-0.03,"▼ COOLING","flat")))</f>
        <v/>
      </c>
      <c r="G42" s="95" t="n"/>
    </row>
    <row r="43">
      <c r="A43" s="95" t="n"/>
      <c r="B43" s="95" t="n"/>
      <c r="C43" s="95" t="n"/>
      <c r="D43" s="96" t="n"/>
      <c r="E43" s="93">
        <f>IF($D43="","",IFERROR($D43-LOOKUP(2,1/($B$6:$B42=$B43),$D$6:$D42),""))</f>
        <v/>
      </c>
      <c r="F43" s="94">
        <f>IF($E43="","",IF($E43&gt;0.03,"▲ SURGE ENTERING",IF($E43&lt;-0.03,"▼ COOLING","flat")))</f>
        <v/>
      </c>
      <c r="G43" s="95" t="n"/>
    </row>
    <row r="44">
      <c r="A44" s="95" t="n"/>
      <c r="B44" s="95" t="n"/>
      <c r="C44" s="95" t="n"/>
      <c r="D44" s="96" t="n"/>
      <c r="E44" s="93">
        <f>IF($D44="","",IFERROR($D44-LOOKUP(2,1/($B$6:$B43=$B44),$D$6:$D43),""))</f>
        <v/>
      </c>
      <c r="F44" s="94">
        <f>IF($E44="","",IF($E44&gt;0.03,"▲ SURGE ENTERING",IF($E44&lt;-0.03,"▼ COOLING","flat")))</f>
        <v/>
      </c>
      <c r="G44" s="95" t="n"/>
    </row>
    <row r="45">
      <c r="A45" s="95" t="n"/>
      <c r="B45" s="95" t="n"/>
      <c r="C45" s="95" t="n"/>
      <c r="D45" s="96" t="n"/>
      <c r="E45" s="93">
        <f>IF($D45="","",IFERROR($D45-LOOKUP(2,1/($B$6:$B44=$B45),$D$6:$D44),""))</f>
        <v/>
      </c>
      <c r="F45" s="94">
        <f>IF($E45="","",IF($E45&gt;0.03,"▲ SURGE ENTERING",IF($E45&lt;-0.03,"▼ COOLING","flat")))</f>
        <v/>
      </c>
      <c r="G45" s="95" t="n"/>
    </row>
    <row r="46">
      <c r="A46" s="95" t="n"/>
      <c r="B46" s="95" t="n"/>
      <c r="C46" s="95" t="n"/>
      <c r="D46" s="96" t="n"/>
      <c r="E46" s="93">
        <f>IF($D46="","",IFERROR($D46-LOOKUP(2,1/($B$6:$B45=$B46),$D$6:$D45),""))</f>
        <v/>
      </c>
      <c r="F46" s="94">
        <f>IF($E46="","",IF($E46&gt;0.03,"▲ SURGE ENTERING",IF($E46&lt;-0.03,"▼ COOLING","flat")))</f>
        <v/>
      </c>
      <c r="G46" s="95" t="n"/>
    </row>
    <row r="47">
      <c r="A47" s="95" t="n"/>
      <c r="B47" s="95" t="n"/>
      <c r="C47" s="95" t="n"/>
      <c r="D47" s="96" t="n"/>
      <c r="E47" s="93">
        <f>IF($D47="","",IFERROR($D47-LOOKUP(2,1/($B$6:$B46=$B47),$D$6:$D46),""))</f>
        <v/>
      </c>
      <c r="F47" s="94">
        <f>IF($E47="","",IF($E47&gt;0.03,"▲ SURGE ENTERING",IF($E47&lt;-0.03,"▼ COOLING","flat")))</f>
        <v/>
      </c>
      <c r="G47" s="95" t="n"/>
    </row>
    <row r="48">
      <c r="A48" s="95" t="n"/>
      <c r="B48" s="95" t="n"/>
      <c r="C48" s="95" t="n"/>
      <c r="D48" s="96" t="n"/>
      <c r="E48" s="93">
        <f>IF($D48="","",IFERROR($D48-LOOKUP(2,1/($B$6:$B47=$B48),$D$6:$D47),""))</f>
        <v/>
      </c>
      <c r="F48" s="94">
        <f>IF($E48="","",IF($E48&gt;0.03,"▲ SURGE ENTERING",IF($E48&lt;-0.03,"▼ COOLING","flat")))</f>
        <v/>
      </c>
      <c r="G48" s="95" t="n"/>
    </row>
    <row r="49">
      <c r="A49" s="95" t="n"/>
      <c r="B49" s="95" t="n"/>
      <c r="C49" s="95" t="n"/>
      <c r="D49" s="96" t="n"/>
      <c r="E49" s="93">
        <f>IF($D49="","",IFERROR($D49-LOOKUP(2,1/($B$6:$B48=$B49),$D$6:$D48),""))</f>
        <v/>
      </c>
      <c r="F49" s="94">
        <f>IF($E49="","",IF($E49&gt;0.03,"▲ SURGE ENTERING",IF($E49&lt;-0.03,"▼ COOLING","flat")))</f>
        <v/>
      </c>
      <c r="G49" s="95" t="n"/>
    </row>
    <row r="50">
      <c r="A50" s="95" t="n"/>
      <c r="B50" s="95" t="n"/>
      <c r="C50" s="95" t="n"/>
      <c r="D50" s="96" t="n"/>
      <c r="E50" s="93">
        <f>IF($D50="","",IFERROR($D50-LOOKUP(2,1/($B$6:$B49=$B50),$D$6:$D49),""))</f>
        <v/>
      </c>
      <c r="F50" s="94">
        <f>IF($E50="","",IF($E50&gt;0.03,"▲ SURGE ENTERING",IF($E50&lt;-0.03,"▼ COOLING","flat")))</f>
        <v/>
      </c>
      <c r="G50" s="95" t="n"/>
    </row>
    <row r="51">
      <c r="A51" s="95" t="n"/>
      <c r="B51" s="95" t="n"/>
      <c r="C51" s="95" t="n"/>
      <c r="D51" s="96" t="n"/>
      <c r="E51" s="93">
        <f>IF($D51="","",IFERROR($D51-LOOKUP(2,1/($B$6:$B50=$B51),$D$6:$D50),""))</f>
        <v/>
      </c>
      <c r="F51" s="94">
        <f>IF($E51="","",IF($E51&gt;0.03,"▲ SURGE ENTERING",IF($E51&lt;-0.03,"▼ COOLING","flat")))</f>
        <v/>
      </c>
      <c r="G51" s="95" t="n"/>
    </row>
    <row r="52">
      <c r="A52" s="95" t="n"/>
      <c r="B52" s="95" t="n"/>
      <c r="C52" s="95" t="n"/>
      <c r="D52" s="96" t="n"/>
      <c r="E52" s="93">
        <f>IF($D52="","",IFERROR($D52-LOOKUP(2,1/($B$6:$B51=$B52),$D$6:$D51),""))</f>
        <v/>
      </c>
      <c r="F52" s="94">
        <f>IF($E52="","",IF($E52&gt;0.03,"▲ SURGE ENTERING",IF($E52&lt;-0.03,"▼ COOLING","flat")))</f>
        <v/>
      </c>
      <c r="G52" s="95" t="n"/>
    </row>
    <row r="53">
      <c r="A53" s="95" t="n"/>
      <c r="B53" s="95" t="n"/>
      <c r="C53" s="95" t="n"/>
      <c r="D53" s="96" t="n"/>
      <c r="E53" s="93">
        <f>IF($D53="","",IFERROR($D53-LOOKUP(2,1/($B$6:$B52=$B53),$D$6:$D52),""))</f>
        <v/>
      </c>
      <c r="F53" s="94">
        <f>IF($E53="","",IF($E53&gt;0.03,"▲ SURGE ENTERING",IF($E53&lt;-0.03,"▼ COOLING","flat")))</f>
        <v/>
      </c>
      <c r="G53" s="95" t="n"/>
    </row>
    <row r="54">
      <c r="A54" s="95" t="n"/>
      <c r="B54" s="95" t="n"/>
      <c r="C54" s="95" t="n"/>
      <c r="D54" s="96" t="n"/>
      <c r="E54" s="93">
        <f>IF($D54="","",IFERROR($D54-LOOKUP(2,1/($B$6:$B53=$B54),$D$6:$D53),""))</f>
        <v/>
      </c>
      <c r="F54" s="94">
        <f>IF($E54="","",IF($E54&gt;0.03,"▲ SURGE ENTERING",IF($E54&lt;-0.03,"▼ COOLING","flat")))</f>
        <v/>
      </c>
      <c r="G54" s="95" t="n"/>
    </row>
    <row r="55">
      <c r="A55" s="95" t="n"/>
      <c r="B55" s="95" t="n"/>
      <c r="C55" s="95" t="n"/>
      <c r="D55" s="96" t="n"/>
      <c r="E55" s="93">
        <f>IF($D55="","",IFERROR($D55-LOOKUP(2,1/($B$6:$B54=$B55),$D$6:$D54),""))</f>
        <v/>
      </c>
      <c r="F55" s="94">
        <f>IF($E55="","",IF($E55&gt;0.03,"▲ SURGE ENTERING",IF($E55&lt;-0.03,"▼ COOLING","flat")))</f>
        <v/>
      </c>
      <c r="G55" s="95" t="n"/>
    </row>
    <row r="56">
      <c r="A56" s="95" t="n"/>
      <c r="B56" s="95" t="n"/>
      <c r="C56" s="95" t="n"/>
      <c r="D56" s="96" t="n"/>
      <c r="E56" s="93">
        <f>IF($D56="","",IFERROR($D56-LOOKUP(2,1/($B$6:$B55=$B56),$D$6:$D55),""))</f>
        <v/>
      </c>
      <c r="F56" s="94">
        <f>IF($E56="","",IF($E56&gt;0.03,"▲ SURGE ENTERING",IF($E56&lt;-0.03,"▼ COOLING","flat")))</f>
        <v/>
      </c>
      <c r="G56" s="95" t="n"/>
    </row>
    <row r="57">
      <c r="A57" s="95" t="n"/>
      <c r="B57" s="95" t="n"/>
      <c r="C57" s="95" t="n"/>
      <c r="D57" s="96" t="n"/>
      <c r="E57" s="93">
        <f>IF($D57="","",IFERROR($D57-LOOKUP(2,1/($B$6:$B56=$B57),$D$6:$D56),""))</f>
        <v/>
      </c>
      <c r="F57" s="94">
        <f>IF($E57="","",IF($E57&gt;0.03,"▲ SURGE ENTERING",IF($E57&lt;-0.03,"▼ COOLING","flat")))</f>
        <v/>
      </c>
      <c r="G57" s="95" t="n"/>
    </row>
    <row r="58">
      <c r="A58" s="95" t="n"/>
      <c r="B58" s="95" t="n"/>
      <c r="C58" s="95" t="n"/>
      <c r="D58" s="96" t="n"/>
      <c r="E58" s="93">
        <f>IF($D58="","",IFERROR($D58-LOOKUP(2,1/($B$6:$B57=$B58),$D$6:$D57),""))</f>
        <v/>
      </c>
      <c r="F58" s="94">
        <f>IF($E58="","",IF($E58&gt;0.03,"▲ SURGE ENTERING",IF($E58&lt;-0.03,"▼ COOLING","flat")))</f>
        <v/>
      </c>
      <c r="G58" s="95" t="n"/>
    </row>
    <row r="59">
      <c r="A59" s="95" t="n"/>
      <c r="B59" s="95" t="n"/>
      <c r="C59" s="95" t="n"/>
      <c r="D59" s="96" t="n"/>
      <c r="E59" s="93">
        <f>IF($D59="","",IFERROR($D59-LOOKUP(2,1/($B$6:$B58=$B59),$D$6:$D58),""))</f>
        <v/>
      </c>
      <c r="F59" s="94">
        <f>IF($E59="","",IF($E59&gt;0.03,"▲ SURGE ENTERING",IF($E59&lt;-0.03,"▼ COOLING","flat")))</f>
        <v/>
      </c>
      <c r="G59" s="95" t="n"/>
    </row>
    <row r="60">
      <c r="A60" s="95" t="n"/>
      <c r="B60" s="95" t="n"/>
      <c r="C60" s="95" t="n"/>
      <c r="D60" s="96" t="n"/>
      <c r="E60" s="93">
        <f>IF($D60="","",IFERROR($D60-LOOKUP(2,1/($B$6:$B59=$B60),$D$6:$D59),""))</f>
        <v/>
      </c>
      <c r="F60" s="94">
        <f>IF($E60="","",IF($E60&gt;0.03,"▲ SURGE ENTERING",IF($E60&lt;-0.03,"▼ COOLING","flat")))</f>
        <v/>
      </c>
      <c r="G60" s="95" t="n"/>
    </row>
    <row r="61">
      <c r="A61" s="95" t="n"/>
      <c r="B61" s="95" t="n"/>
      <c r="C61" s="95" t="n"/>
      <c r="D61" s="96" t="n"/>
      <c r="E61" s="93">
        <f>IF($D61="","",IFERROR($D61-LOOKUP(2,1/($B$6:$B60=$B61),$D$6:$D60),""))</f>
        <v/>
      </c>
      <c r="F61" s="94">
        <f>IF($E61="","",IF($E61&gt;0.03,"▲ SURGE ENTERING",IF($E61&lt;-0.03,"▼ COOLING","flat")))</f>
        <v/>
      </c>
      <c r="G61" s="95" t="n"/>
    </row>
    <row r="62">
      <c r="A62" s="95" t="n"/>
      <c r="B62" s="95" t="n"/>
      <c r="C62" s="95" t="n"/>
      <c r="D62" s="96" t="n"/>
      <c r="E62" s="93">
        <f>IF($D62="","",IFERROR($D62-LOOKUP(2,1/($B$6:$B61=$B62),$D$6:$D61),""))</f>
        <v/>
      </c>
      <c r="F62" s="94">
        <f>IF($E62="","",IF($E62&gt;0.03,"▲ SURGE ENTERING",IF($E62&lt;-0.03,"▼ COOLING","flat")))</f>
        <v/>
      </c>
      <c r="G62" s="95" t="n"/>
    </row>
    <row r="63">
      <c r="A63" s="95" t="n"/>
      <c r="B63" s="95" t="n"/>
      <c r="C63" s="95" t="n"/>
      <c r="D63" s="96" t="n"/>
      <c r="E63" s="93">
        <f>IF($D63="","",IFERROR($D63-LOOKUP(2,1/($B$6:$B62=$B63),$D$6:$D62),""))</f>
        <v/>
      </c>
      <c r="F63" s="94">
        <f>IF($E63="","",IF($E63&gt;0.03,"▲ SURGE ENTERING",IF($E63&lt;-0.03,"▼ COOLING","flat")))</f>
        <v/>
      </c>
      <c r="G63" s="95" t="n"/>
    </row>
    <row r="64">
      <c r="A64" s="95" t="n"/>
      <c r="B64" s="95" t="n"/>
      <c r="C64" s="95" t="n"/>
      <c r="D64" s="96" t="n"/>
      <c r="E64" s="93">
        <f>IF($D64="","",IFERROR($D64-LOOKUP(2,1/($B$6:$B63=$B64),$D$6:$D63),""))</f>
        <v/>
      </c>
      <c r="F64" s="94">
        <f>IF($E64="","",IF($E64&gt;0.03,"▲ SURGE ENTERING",IF($E64&lt;-0.03,"▼ COOLING","flat")))</f>
        <v/>
      </c>
      <c r="G64" s="95" t="n"/>
    </row>
    <row r="65">
      <c r="A65" s="95" t="n"/>
      <c r="B65" s="95" t="n"/>
      <c r="C65" s="95" t="n"/>
      <c r="D65" s="96" t="n"/>
      <c r="E65" s="93">
        <f>IF($D65="","",IFERROR($D65-LOOKUP(2,1/($B$6:$B64=$B65),$D$6:$D64),""))</f>
        <v/>
      </c>
      <c r="F65" s="94">
        <f>IF($E65="","",IF($E65&gt;0.03,"▲ SURGE ENTERING",IF($E65&lt;-0.03,"▼ COOLING","flat")))</f>
        <v/>
      </c>
      <c r="G65" s="95" t="n"/>
    </row>
    <row r="66">
      <c r="A66" s="95" t="n"/>
      <c r="B66" s="95" t="n"/>
      <c r="C66" s="95" t="n"/>
      <c r="D66" s="96" t="n"/>
      <c r="E66" s="93">
        <f>IF($D66="","",IFERROR($D66-LOOKUP(2,1/($B$6:$B65=$B66),$D$6:$D65),""))</f>
        <v/>
      </c>
      <c r="F66" s="94">
        <f>IF($E66="","",IF($E66&gt;0.03,"▲ SURGE ENTERING",IF($E66&lt;-0.03,"▼ COOLING","flat")))</f>
        <v/>
      </c>
      <c r="G66" s="95" t="n"/>
    </row>
    <row r="67">
      <c r="A67" s="95" t="n"/>
      <c r="B67" s="95" t="n"/>
      <c r="C67" s="95" t="n"/>
      <c r="D67" s="96" t="n"/>
      <c r="E67" s="93">
        <f>IF($D67="","",IFERROR($D67-LOOKUP(2,1/($B$6:$B66=$B67),$D$6:$D66),""))</f>
        <v/>
      </c>
      <c r="F67" s="94">
        <f>IF($E67="","",IF($E67&gt;0.03,"▲ SURGE ENTERING",IF($E67&lt;-0.03,"▼ COOLING","flat")))</f>
        <v/>
      </c>
      <c r="G67" s="95" t="n"/>
    </row>
    <row r="68">
      <c r="A68" s="95" t="n"/>
      <c r="B68" s="95" t="n"/>
      <c r="C68" s="95" t="n"/>
      <c r="D68" s="96" t="n"/>
      <c r="E68" s="93">
        <f>IF($D68="","",IFERROR($D68-LOOKUP(2,1/($B$6:$B67=$B68),$D$6:$D67),""))</f>
        <v/>
      </c>
      <c r="F68" s="94">
        <f>IF($E68="","",IF($E68&gt;0.03,"▲ SURGE ENTERING",IF($E68&lt;-0.03,"▼ COOLING","flat")))</f>
        <v/>
      </c>
      <c r="G68" s="95" t="n"/>
    </row>
    <row r="69">
      <c r="A69" s="95" t="n"/>
      <c r="B69" s="95" t="n"/>
      <c r="C69" s="95" t="n"/>
      <c r="D69" s="96" t="n"/>
      <c r="E69" s="93">
        <f>IF($D69="","",IFERROR($D69-LOOKUP(2,1/($B$6:$B68=$B69),$D$6:$D68),""))</f>
        <v/>
      </c>
      <c r="F69" s="94">
        <f>IF($E69="","",IF($E69&gt;0.03,"▲ SURGE ENTERING",IF($E69&lt;-0.03,"▼ COOLING","flat")))</f>
        <v/>
      </c>
      <c r="G69" s="95" t="n"/>
    </row>
    <row r="70">
      <c r="A70" s="95" t="n"/>
      <c r="B70" s="95" t="n"/>
      <c r="C70" s="95" t="n"/>
      <c r="D70" s="96" t="n"/>
      <c r="E70" s="93">
        <f>IF($D70="","",IFERROR($D70-LOOKUP(2,1/($B$6:$B69=$B70),$D$6:$D69),""))</f>
        <v/>
      </c>
      <c r="F70" s="94">
        <f>IF($E70="","",IF($E70&gt;0.03,"▲ SURGE ENTERING",IF($E70&lt;-0.03,"▼ COOLING","flat")))</f>
        <v/>
      </c>
      <c r="G70" s="95" t="n"/>
    </row>
    <row r="71">
      <c r="A71" s="95" t="n"/>
      <c r="B71" s="95" t="n"/>
      <c r="C71" s="95" t="n"/>
      <c r="D71" s="96" t="n"/>
      <c r="E71" s="93">
        <f>IF($D71="","",IFERROR($D71-LOOKUP(2,1/($B$6:$B70=$B71),$D$6:$D70),""))</f>
        <v/>
      </c>
      <c r="F71" s="94">
        <f>IF($E71="","",IF($E71&gt;0.03,"▲ SURGE ENTERING",IF($E71&lt;-0.03,"▼ COOLING","flat")))</f>
        <v/>
      </c>
      <c r="G71" s="95" t="n"/>
    </row>
    <row r="72">
      <c r="A72" s="95" t="n"/>
      <c r="B72" s="95" t="n"/>
      <c r="C72" s="95" t="n"/>
      <c r="D72" s="96" t="n"/>
      <c r="E72" s="93">
        <f>IF($D72="","",IFERROR($D72-LOOKUP(2,1/($B$6:$B71=$B72),$D$6:$D71),""))</f>
        <v/>
      </c>
      <c r="F72" s="94">
        <f>IF($E72="","",IF($E72&gt;0.03,"▲ SURGE ENTERING",IF($E72&lt;-0.03,"▼ COOLING","flat")))</f>
        <v/>
      </c>
      <c r="G72" s="95" t="n"/>
    </row>
    <row r="73">
      <c r="A73" s="95" t="n"/>
      <c r="B73" s="95" t="n"/>
      <c r="C73" s="95" t="n"/>
      <c r="D73" s="96" t="n"/>
      <c r="E73" s="93">
        <f>IF($D73="","",IFERROR($D73-LOOKUP(2,1/($B$6:$B72=$B73),$D$6:$D72),""))</f>
        <v/>
      </c>
      <c r="F73" s="94">
        <f>IF($E73="","",IF($E73&gt;0.03,"▲ SURGE ENTERING",IF($E73&lt;-0.03,"▼ COOLING","flat")))</f>
        <v/>
      </c>
      <c r="G73" s="95" t="n"/>
    </row>
    <row r="74">
      <c r="A74" s="95" t="n"/>
      <c r="B74" s="95" t="n"/>
      <c r="C74" s="95" t="n"/>
      <c r="D74" s="96" t="n"/>
      <c r="E74" s="93">
        <f>IF($D74="","",IFERROR($D74-LOOKUP(2,1/($B$6:$B73=$B74),$D$6:$D73),""))</f>
        <v/>
      </c>
      <c r="F74" s="94">
        <f>IF($E74="","",IF($E74&gt;0.03,"▲ SURGE ENTERING",IF($E74&lt;-0.03,"▼ COOLING","flat")))</f>
        <v/>
      </c>
      <c r="G74" s="95" t="n"/>
    </row>
    <row r="75">
      <c r="A75" s="95" t="n"/>
      <c r="B75" s="95" t="n"/>
      <c r="C75" s="95" t="n"/>
      <c r="D75" s="96" t="n"/>
      <c r="E75" s="93">
        <f>IF($D75="","",IFERROR($D75-LOOKUP(2,1/($B$6:$B74=$B75),$D$6:$D74),""))</f>
        <v/>
      </c>
      <c r="F75" s="94">
        <f>IF($E75="","",IF($E75&gt;0.03,"▲ SURGE ENTERING",IF($E75&lt;-0.03,"▼ COOLING","flat")))</f>
        <v/>
      </c>
      <c r="G75" s="95" t="n"/>
    </row>
    <row r="76">
      <c r="A76" s="95" t="n"/>
      <c r="B76" s="95" t="n"/>
      <c r="C76" s="95" t="n"/>
      <c r="D76" s="96" t="n"/>
      <c r="E76" s="93">
        <f>IF($D76="","",IFERROR($D76-LOOKUP(2,1/($B$6:$B75=$B76),$D$6:$D75),""))</f>
        <v/>
      </c>
      <c r="F76" s="94">
        <f>IF($E76="","",IF($E76&gt;0.03,"▲ SURGE ENTERING",IF($E76&lt;-0.03,"▼ COOLING","flat")))</f>
        <v/>
      </c>
      <c r="G76" s="95" t="n"/>
    </row>
    <row r="77">
      <c r="A77" s="95" t="n"/>
      <c r="B77" s="95" t="n"/>
      <c r="C77" s="95" t="n"/>
      <c r="D77" s="96" t="n"/>
      <c r="E77" s="93">
        <f>IF($D77="","",IFERROR($D77-LOOKUP(2,1/($B$6:$B76=$B77),$D$6:$D76),""))</f>
        <v/>
      </c>
      <c r="F77" s="94">
        <f>IF($E77="","",IF($E77&gt;0.03,"▲ SURGE ENTERING",IF($E77&lt;-0.03,"▼ COOLING","flat")))</f>
        <v/>
      </c>
      <c r="G77" s="95" t="n"/>
    </row>
    <row r="78">
      <c r="A78" s="95" t="n"/>
      <c r="B78" s="95" t="n"/>
      <c r="C78" s="95" t="n"/>
      <c r="D78" s="96" t="n"/>
      <c r="E78" s="93">
        <f>IF($D78="","",IFERROR($D78-LOOKUP(2,1/($B$6:$B77=$B78),$D$6:$D77),""))</f>
        <v/>
      </c>
      <c r="F78" s="94">
        <f>IF($E78="","",IF($E78&gt;0.03,"▲ SURGE ENTERING",IF($E78&lt;-0.03,"▼ COOLING","flat")))</f>
        <v/>
      </c>
      <c r="G78" s="95" t="n"/>
    </row>
    <row r="79">
      <c r="A79" s="95" t="n"/>
      <c r="B79" s="95" t="n"/>
      <c r="C79" s="95" t="n"/>
      <c r="D79" s="96" t="n"/>
      <c r="E79" s="93">
        <f>IF($D79="","",IFERROR($D79-LOOKUP(2,1/($B$6:$B78=$B79),$D$6:$D78),""))</f>
        <v/>
      </c>
      <c r="F79" s="94">
        <f>IF($E79="","",IF($E79&gt;0.03,"▲ SURGE ENTERING",IF($E79&lt;-0.03,"▼ COOLING","flat")))</f>
        <v/>
      </c>
      <c r="G79" s="95" t="n"/>
    </row>
    <row r="80">
      <c r="A80" s="95" t="n"/>
      <c r="B80" s="95" t="n"/>
      <c r="C80" s="95" t="n"/>
      <c r="D80" s="96" t="n"/>
      <c r="E80" s="93">
        <f>IF($D80="","",IFERROR($D80-LOOKUP(2,1/($B$6:$B79=$B80),$D$6:$D79),""))</f>
        <v/>
      </c>
      <c r="F80" s="94">
        <f>IF($E80="","",IF($E80&gt;0.03,"▲ SURGE ENTERING",IF($E80&lt;-0.03,"▼ COOLING","flat")))</f>
        <v/>
      </c>
      <c r="G80" s="95" t="n"/>
    </row>
    <row r="81">
      <c r="A81" s="95" t="n"/>
      <c r="B81" s="95" t="n"/>
      <c r="C81" s="95" t="n"/>
      <c r="D81" s="96" t="n"/>
      <c r="E81" s="93">
        <f>IF($D81="","",IFERROR($D81-LOOKUP(2,1/($B$6:$B80=$B81),$D$6:$D80),""))</f>
        <v/>
      </c>
      <c r="F81" s="94">
        <f>IF($E81="","",IF($E81&gt;0.03,"▲ SURGE ENTERING",IF($E81&lt;-0.03,"▼ COOLING","flat")))</f>
        <v/>
      </c>
      <c r="G81" s="95" t="n"/>
    </row>
    <row r="82">
      <c r="A82" s="95" t="n"/>
      <c r="B82" s="95" t="n"/>
      <c r="C82" s="95" t="n"/>
      <c r="D82" s="96" t="n"/>
      <c r="E82" s="93">
        <f>IF($D82="","",IFERROR($D82-LOOKUP(2,1/($B$6:$B81=$B82),$D$6:$D81),""))</f>
        <v/>
      </c>
      <c r="F82" s="94">
        <f>IF($E82="","",IF($E82&gt;0.03,"▲ SURGE ENTERING",IF($E82&lt;-0.03,"▼ COOLING","flat")))</f>
        <v/>
      </c>
      <c r="G82" s="95" t="n"/>
    </row>
    <row r="83">
      <c r="A83" s="95" t="n"/>
      <c r="B83" s="95" t="n"/>
      <c r="C83" s="95" t="n"/>
      <c r="D83" s="96" t="n"/>
      <c r="E83" s="93">
        <f>IF($D83="","",IFERROR($D83-LOOKUP(2,1/($B$6:$B82=$B83),$D$6:$D82),""))</f>
        <v/>
      </c>
      <c r="F83" s="94">
        <f>IF($E83="","",IF($E83&gt;0.03,"▲ SURGE ENTERING",IF($E83&lt;-0.03,"▼ COOLING","flat")))</f>
        <v/>
      </c>
      <c r="G83" s="95" t="n"/>
    </row>
    <row r="84">
      <c r="A84" s="95" t="n"/>
      <c r="B84" s="95" t="n"/>
      <c r="C84" s="95" t="n"/>
      <c r="D84" s="96" t="n"/>
      <c r="E84" s="93">
        <f>IF($D84="","",IFERROR($D84-LOOKUP(2,1/($B$6:$B83=$B84),$D$6:$D83),""))</f>
        <v/>
      </c>
      <c r="F84" s="94">
        <f>IF($E84="","",IF($E84&gt;0.03,"▲ SURGE ENTERING",IF($E84&lt;-0.03,"▼ COOLING","flat")))</f>
        <v/>
      </c>
      <c r="G84" s="95" t="n"/>
    </row>
    <row r="85">
      <c r="A85" s="95" t="n"/>
      <c r="B85" s="95" t="n"/>
      <c r="C85" s="95" t="n"/>
      <c r="D85" s="96" t="n"/>
      <c r="E85" s="93">
        <f>IF($D85="","",IFERROR($D85-LOOKUP(2,1/($B$6:$B84=$B85),$D$6:$D84),""))</f>
        <v/>
      </c>
      <c r="F85" s="94">
        <f>IF($E85="","",IF($E85&gt;0.03,"▲ SURGE ENTERING",IF($E85&lt;-0.03,"▼ COOLING","flat")))</f>
        <v/>
      </c>
      <c r="G85" s="95" t="n"/>
    </row>
    <row r="86">
      <c r="A86" s="95" t="n"/>
      <c r="B86" s="95" t="n"/>
      <c r="C86" s="95" t="n"/>
      <c r="D86" s="96" t="n"/>
      <c r="E86" s="93">
        <f>IF($D86="","",IFERROR($D86-LOOKUP(2,1/($B$6:$B85=$B86),$D$6:$D85),""))</f>
        <v/>
      </c>
      <c r="F86" s="94">
        <f>IF($E86="","",IF($E86&gt;0.03,"▲ SURGE ENTERING",IF($E86&lt;-0.03,"▼ COOLING","flat")))</f>
        <v/>
      </c>
      <c r="G86" s="95" t="n"/>
    </row>
    <row r="87">
      <c r="A87" s="95" t="n"/>
      <c r="B87" s="95" t="n"/>
      <c r="C87" s="95" t="n"/>
      <c r="D87" s="96" t="n"/>
      <c r="E87" s="93">
        <f>IF($D87="","",IFERROR($D87-LOOKUP(2,1/($B$6:$B86=$B87),$D$6:$D86),""))</f>
        <v/>
      </c>
      <c r="F87" s="94">
        <f>IF($E87="","",IF($E87&gt;0.03,"▲ SURGE ENTERING",IF($E87&lt;-0.03,"▼ COOLING","flat")))</f>
        <v/>
      </c>
      <c r="G87" s="95" t="n"/>
    </row>
    <row r="88">
      <c r="A88" s="95" t="n"/>
      <c r="B88" s="95" t="n"/>
      <c r="C88" s="95" t="n"/>
      <c r="D88" s="96" t="n"/>
      <c r="E88" s="93">
        <f>IF($D88="","",IFERROR($D88-LOOKUP(2,1/($B$6:$B87=$B88),$D$6:$D87),""))</f>
        <v/>
      </c>
      <c r="F88" s="94">
        <f>IF($E88="","",IF($E88&gt;0.03,"▲ SURGE ENTERING",IF($E88&lt;-0.03,"▼ COOLING","flat")))</f>
        <v/>
      </c>
      <c r="G88" s="95" t="n"/>
    </row>
    <row r="89">
      <c r="A89" s="95" t="n"/>
      <c r="B89" s="95" t="n"/>
      <c r="C89" s="95" t="n"/>
      <c r="D89" s="96" t="n"/>
      <c r="E89" s="93">
        <f>IF($D89="","",IFERROR($D89-LOOKUP(2,1/($B$6:$B88=$B89),$D$6:$D88),""))</f>
        <v/>
      </c>
      <c r="F89" s="94">
        <f>IF($E89="","",IF($E89&gt;0.03,"▲ SURGE ENTERING",IF($E89&lt;-0.03,"▼ COOLING","flat")))</f>
        <v/>
      </c>
      <c r="G89" s="95" t="n"/>
    </row>
    <row r="90">
      <c r="A90" s="95" t="n"/>
      <c r="B90" s="95" t="n"/>
      <c r="C90" s="95" t="n"/>
      <c r="D90" s="96" t="n"/>
      <c r="E90" s="93">
        <f>IF($D90="","",IFERROR($D90-LOOKUP(2,1/($B$6:$B89=$B90),$D$6:$D89),""))</f>
        <v/>
      </c>
      <c r="F90" s="94">
        <f>IF($E90="","",IF($E90&gt;0.03,"▲ SURGE ENTERING",IF($E90&lt;-0.03,"▼ COOLING","flat")))</f>
        <v/>
      </c>
      <c r="G90" s="95" t="n"/>
    </row>
    <row r="91">
      <c r="A91" s="95" t="n"/>
      <c r="B91" s="95" t="n"/>
      <c r="C91" s="95" t="n"/>
      <c r="D91" s="96" t="n"/>
      <c r="E91" s="93">
        <f>IF($D91="","",IFERROR($D91-LOOKUP(2,1/($B$6:$B90=$B91),$D$6:$D90),""))</f>
        <v/>
      </c>
      <c r="F91" s="94">
        <f>IF($E91="","",IF($E91&gt;0.03,"▲ SURGE ENTERING",IF($E91&lt;-0.03,"▼ COOLING","flat")))</f>
        <v/>
      </c>
      <c r="G91" s="95" t="n"/>
    </row>
    <row r="92">
      <c r="A92" s="95" t="n"/>
      <c r="B92" s="95" t="n"/>
      <c r="C92" s="95" t="n"/>
      <c r="D92" s="96" t="n"/>
      <c r="E92" s="93">
        <f>IF($D92="","",IFERROR($D92-LOOKUP(2,1/($B$6:$B91=$B92),$D$6:$D91),""))</f>
        <v/>
      </c>
      <c r="F92" s="94">
        <f>IF($E92="","",IF($E92&gt;0.03,"▲ SURGE ENTERING",IF($E92&lt;-0.03,"▼ COOLING","flat")))</f>
        <v/>
      </c>
      <c r="G92" s="95" t="n"/>
    </row>
    <row r="93">
      <c r="A93" s="95" t="n"/>
      <c r="B93" s="95" t="n"/>
      <c r="C93" s="95" t="n"/>
      <c r="D93" s="96" t="n"/>
      <c r="E93" s="93">
        <f>IF($D93="","",IFERROR($D93-LOOKUP(2,1/($B$6:$B92=$B93),$D$6:$D92),""))</f>
        <v/>
      </c>
      <c r="F93" s="94">
        <f>IF($E93="","",IF($E93&gt;0.03,"▲ SURGE ENTERING",IF($E93&lt;-0.03,"▼ COOLING","flat")))</f>
        <v/>
      </c>
      <c r="G93" s="95" t="n"/>
    </row>
    <row r="94">
      <c r="A94" s="95" t="n"/>
      <c r="B94" s="95" t="n"/>
      <c r="C94" s="95" t="n"/>
      <c r="D94" s="96" t="n"/>
      <c r="E94" s="93">
        <f>IF($D94="","",IFERROR($D94-LOOKUP(2,1/($B$6:$B93=$B94),$D$6:$D93),""))</f>
        <v/>
      </c>
      <c r="F94" s="94">
        <f>IF($E94="","",IF($E94&gt;0.03,"▲ SURGE ENTERING",IF($E94&lt;-0.03,"▼ COOLING","flat")))</f>
        <v/>
      </c>
      <c r="G94" s="95" t="n"/>
    </row>
    <row r="95">
      <c r="A95" s="95" t="n"/>
      <c r="B95" s="95" t="n"/>
      <c r="C95" s="95" t="n"/>
      <c r="D95" s="96" t="n"/>
      <c r="E95" s="93">
        <f>IF($D95="","",IFERROR($D95-LOOKUP(2,1/($B$6:$B94=$B95),$D$6:$D94),""))</f>
        <v/>
      </c>
      <c r="F95" s="94">
        <f>IF($E95="","",IF($E95&gt;0.03,"▲ SURGE ENTERING",IF($E95&lt;-0.03,"▼ COOLING","flat")))</f>
        <v/>
      </c>
      <c r="G95" s="95" t="n"/>
    </row>
    <row r="96">
      <c r="A96" s="95" t="n"/>
      <c r="B96" s="95" t="n"/>
      <c r="C96" s="95" t="n"/>
      <c r="D96" s="96" t="n"/>
      <c r="E96" s="93">
        <f>IF($D96="","",IFERROR($D96-LOOKUP(2,1/($B$6:$B95=$B96),$D$6:$D95),""))</f>
        <v/>
      </c>
      <c r="F96" s="94">
        <f>IF($E96="","",IF($E96&gt;0.03,"▲ SURGE ENTERING",IF($E96&lt;-0.03,"▼ COOLING","flat")))</f>
        <v/>
      </c>
      <c r="G96" s="95" t="n"/>
    </row>
    <row r="97">
      <c r="A97" s="95" t="n"/>
      <c r="B97" s="95" t="n"/>
      <c r="C97" s="95" t="n"/>
      <c r="D97" s="96" t="n"/>
      <c r="E97" s="93">
        <f>IF($D97="","",IFERROR($D97-LOOKUP(2,1/($B$6:$B96=$B97),$D$6:$D96),""))</f>
        <v/>
      </c>
      <c r="F97" s="94">
        <f>IF($E97="","",IF($E97&gt;0.03,"▲ SURGE ENTERING",IF($E97&lt;-0.03,"▼ COOLING","flat")))</f>
        <v/>
      </c>
      <c r="G97" s="95" t="n"/>
    </row>
    <row r="98">
      <c r="A98" s="95" t="n"/>
      <c r="B98" s="95" t="n"/>
      <c r="C98" s="95" t="n"/>
      <c r="D98" s="96" t="n"/>
      <c r="E98" s="93">
        <f>IF($D98="","",IFERROR($D98-LOOKUP(2,1/($B$6:$B97=$B98),$D$6:$D97),""))</f>
        <v/>
      </c>
      <c r="F98" s="94">
        <f>IF($E98="","",IF($E98&gt;0.03,"▲ SURGE ENTERING",IF($E98&lt;-0.03,"▼ COOLING","flat")))</f>
        <v/>
      </c>
      <c r="G98" s="95" t="n"/>
    </row>
    <row r="99">
      <c r="A99" s="95" t="n"/>
      <c r="B99" s="95" t="n"/>
      <c r="C99" s="95" t="n"/>
      <c r="D99" s="96" t="n"/>
      <c r="E99" s="93">
        <f>IF($D99="","",IFERROR($D99-LOOKUP(2,1/($B$6:$B98=$B99),$D$6:$D98),""))</f>
        <v/>
      </c>
      <c r="F99" s="94">
        <f>IF($E99="","",IF($E99&gt;0.03,"▲ SURGE ENTERING",IF($E99&lt;-0.03,"▼ COOLING","flat")))</f>
        <v/>
      </c>
      <c r="G99" s="95" t="n"/>
    </row>
    <row r="100">
      <c r="A100" s="95" t="n"/>
      <c r="B100" s="95" t="n"/>
      <c r="C100" s="95" t="n"/>
      <c r="D100" s="96" t="n"/>
      <c r="E100" s="93">
        <f>IF($D100="","",IFERROR($D100-LOOKUP(2,1/($B$6:$B99=$B100),$D$6:$D99),""))</f>
        <v/>
      </c>
      <c r="F100" s="94">
        <f>IF($E100="","",IF($E100&gt;0.03,"▲ SURGE ENTERING",IF($E100&lt;-0.03,"▼ COOLING","flat")))</f>
        <v/>
      </c>
      <c r="G100" s="95" t="n"/>
    </row>
    <row r="101">
      <c r="A101" s="95" t="n"/>
      <c r="B101" s="95" t="n"/>
      <c r="C101" s="95" t="n"/>
      <c r="D101" s="96" t="n"/>
      <c r="E101" s="93">
        <f>IF($D101="","",IFERROR($D101-LOOKUP(2,1/($B$6:$B100=$B101),$D$6:$D100),""))</f>
        <v/>
      </c>
      <c r="F101" s="94">
        <f>IF($E101="","",IF($E101&gt;0.03,"▲ SURGE ENTERING",IF($E101&lt;-0.03,"▼ COOLING","flat")))</f>
        <v/>
      </c>
      <c r="G101" s="95" t="n"/>
    </row>
    <row r="102">
      <c r="A102" s="95" t="n"/>
      <c r="B102" s="95" t="n"/>
      <c r="C102" s="95" t="n"/>
      <c r="D102" s="96" t="n"/>
      <c r="E102" s="93">
        <f>IF($D102="","",IFERROR($D102-LOOKUP(2,1/($B$6:$B101=$B102),$D$6:$D101),""))</f>
        <v/>
      </c>
      <c r="F102" s="94">
        <f>IF($E102="","",IF($E102&gt;0.03,"▲ SURGE ENTERING",IF($E102&lt;-0.03,"▼ COOLING","flat")))</f>
        <v/>
      </c>
      <c r="G102" s="95" t="n"/>
    </row>
    <row r="103">
      <c r="A103" s="95" t="n"/>
      <c r="B103" s="95" t="n"/>
      <c r="C103" s="95" t="n"/>
      <c r="D103" s="96" t="n"/>
      <c r="E103" s="93">
        <f>IF($D103="","",IFERROR($D103-LOOKUP(2,1/($B$6:$B102=$B103),$D$6:$D102),""))</f>
        <v/>
      </c>
      <c r="F103" s="94">
        <f>IF($E103="","",IF($E103&gt;0.03,"▲ SURGE ENTERING",IF($E103&lt;-0.03,"▼ COOLING","flat")))</f>
        <v/>
      </c>
      <c r="G103" s="95" t="n"/>
    </row>
    <row r="104">
      <c r="A104" s="95" t="n"/>
      <c r="B104" s="95" t="n"/>
      <c r="C104" s="95" t="n"/>
      <c r="D104" s="96" t="n"/>
      <c r="E104" s="93">
        <f>IF($D104="","",IFERROR($D104-LOOKUP(2,1/($B$6:$B103=$B104),$D$6:$D103),""))</f>
        <v/>
      </c>
      <c r="F104" s="94">
        <f>IF($E104="","",IF($E104&gt;0.03,"▲ SURGE ENTERING",IF($E104&lt;-0.03,"▼ COOLING","flat")))</f>
        <v/>
      </c>
      <c r="G104" s="95" t="n"/>
    </row>
    <row r="105">
      <c r="A105" s="95" t="n"/>
      <c r="B105" s="95" t="n"/>
      <c r="C105" s="95" t="n"/>
      <c r="D105" s="96" t="n"/>
      <c r="E105" s="93">
        <f>IF($D105="","",IFERROR($D105-LOOKUP(2,1/($B$6:$B104=$B105),$D$6:$D104),""))</f>
        <v/>
      </c>
      <c r="F105" s="94">
        <f>IF($E105="","",IF($E105&gt;0.03,"▲ SURGE ENTERING",IF($E105&lt;-0.03,"▼ COOLING","flat")))</f>
        <v/>
      </c>
      <c r="G105" s="95" t="n"/>
    </row>
    <row r="106">
      <c r="A106" s="95" t="n"/>
      <c r="B106" s="95" t="n"/>
      <c r="C106" s="95" t="n"/>
      <c r="D106" s="96" t="n"/>
      <c r="E106" s="93">
        <f>IF($D106="","",IFERROR($D106-LOOKUP(2,1/($B$6:$B105=$B106),$D$6:$D105),""))</f>
        <v/>
      </c>
      <c r="F106" s="94">
        <f>IF($E106="","",IF($E106&gt;0.03,"▲ SURGE ENTERING",IF($E106&lt;-0.03,"▼ COOLING","flat")))</f>
        <v/>
      </c>
      <c r="G106" s="95" t="n"/>
    </row>
    <row r="107">
      <c r="A107" s="95" t="n"/>
      <c r="B107" s="95" t="n"/>
      <c r="C107" s="95" t="n"/>
      <c r="D107" s="96" t="n"/>
      <c r="E107" s="93">
        <f>IF($D107="","",IFERROR($D107-LOOKUP(2,1/($B$6:$B106=$B107),$D$6:$D106),""))</f>
        <v/>
      </c>
      <c r="F107" s="94">
        <f>IF($E107="","",IF($E107&gt;0.03,"▲ SURGE ENTERING",IF($E107&lt;-0.03,"▼ COOLING","flat")))</f>
        <v/>
      </c>
      <c r="G107" s="95" t="n"/>
    </row>
    <row r="108">
      <c r="A108" s="95" t="n"/>
      <c r="B108" s="95" t="n"/>
      <c r="C108" s="95" t="n"/>
      <c r="D108" s="96" t="n"/>
      <c r="E108" s="93">
        <f>IF($D108="","",IFERROR($D108-LOOKUP(2,1/($B$6:$B107=$B108),$D$6:$D107),""))</f>
        <v/>
      </c>
      <c r="F108" s="94">
        <f>IF($E108="","",IF($E108&gt;0.03,"▲ SURGE ENTERING",IF($E108&lt;-0.03,"▼ COOLING","flat")))</f>
        <v/>
      </c>
      <c r="G108" s="95" t="n"/>
    </row>
    <row r="109">
      <c r="A109" s="95" t="n"/>
      <c r="B109" s="95" t="n"/>
      <c r="C109" s="95" t="n"/>
      <c r="D109" s="96" t="n"/>
      <c r="E109" s="93">
        <f>IF($D109="","",IFERROR($D109-LOOKUP(2,1/($B$6:$B108=$B109),$D$6:$D108),""))</f>
        <v/>
      </c>
      <c r="F109" s="94">
        <f>IF($E109="","",IF($E109&gt;0.03,"▲ SURGE ENTERING",IF($E109&lt;-0.03,"▼ COOLING","flat")))</f>
        <v/>
      </c>
      <c r="G109" s="95" t="n"/>
    </row>
    <row r="110">
      <c r="A110" s="95" t="n"/>
      <c r="B110" s="95" t="n"/>
      <c r="C110" s="95" t="n"/>
      <c r="D110" s="96" t="n"/>
      <c r="E110" s="93">
        <f>IF($D110="","",IFERROR($D110-LOOKUP(2,1/($B$6:$B109=$B110),$D$6:$D109),""))</f>
        <v/>
      </c>
      <c r="F110" s="94">
        <f>IF($E110="","",IF($E110&gt;0.03,"▲ SURGE ENTERING",IF($E110&lt;-0.03,"▼ COOLING","flat")))</f>
        <v/>
      </c>
      <c r="G110" s="95" t="n"/>
    </row>
    <row r="111">
      <c r="A111" s="95" t="n"/>
      <c r="B111" s="95" t="n"/>
      <c r="C111" s="95" t="n"/>
      <c r="D111" s="96" t="n"/>
      <c r="E111" s="93">
        <f>IF($D111="","",IFERROR($D111-LOOKUP(2,1/($B$6:$B110=$B111),$D$6:$D110),""))</f>
        <v/>
      </c>
      <c r="F111" s="94">
        <f>IF($E111="","",IF($E111&gt;0.03,"▲ SURGE ENTERING",IF($E111&lt;-0.03,"▼ COOLING","flat")))</f>
        <v/>
      </c>
      <c r="G111" s="95" t="n"/>
    </row>
    <row r="112">
      <c r="A112" s="95" t="n"/>
      <c r="B112" s="95" t="n"/>
      <c r="C112" s="95" t="n"/>
      <c r="D112" s="96" t="n"/>
      <c r="E112" s="93">
        <f>IF($D112="","",IFERROR($D112-LOOKUP(2,1/($B$6:$B111=$B112),$D$6:$D111),""))</f>
        <v/>
      </c>
      <c r="F112" s="94">
        <f>IF($E112="","",IF($E112&gt;0.03,"▲ SURGE ENTERING",IF($E112&lt;-0.03,"▼ COOLING","flat")))</f>
        <v/>
      </c>
      <c r="G112" s="95" t="n"/>
    </row>
    <row r="113">
      <c r="A113" s="95" t="n"/>
      <c r="B113" s="95" t="n"/>
      <c r="C113" s="95" t="n"/>
      <c r="D113" s="96" t="n"/>
      <c r="E113" s="93">
        <f>IF($D113="","",IFERROR($D113-LOOKUP(2,1/($B$6:$B112=$B113),$D$6:$D112),""))</f>
        <v/>
      </c>
      <c r="F113" s="94">
        <f>IF($E113="","",IF($E113&gt;0.03,"▲ SURGE ENTERING",IF($E113&lt;-0.03,"▼ COOLING","flat")))</f>
        <v/>
      </c>
      <c r="G113" s="95" t="n"/>
    </row>
    <row r="114">
      <c r="A114" s="95" t="n"/>
      <c r="B114" s="95" t="n"/>
      <c r="C114" s="95" t="n"/>
      <c r="D114" s="96" t="n"/>
      <c r="E114" s="93">
        <f>IF($D114="","",IFERROR($D114-LOOKUP(2,1/($B$6:$B113=$B114),$D$6:$D113),""))</f>
        <v/>
      </c>
      <c r="F114" s="94">
        <f>IF($E114="","",IF($E114&gt;0.03,"▲ SURGE ENTERING",IF($E114&lt;-0.03,"▼ COOLING","flat")))</f>
        <v/>
      </c>
      <c r="G114" s="95" t="n"/>
    </row>
    <row r="115">
      <c r="A115" s="95" t="n"/>
      <c r="B115" s="95" t="n"/>
      <c r="C115" s="95" t="n"/>
      <c r="D115" s="96" t="n"/>
      <c r="E115" s="93">
        <f>IF($D115="","",IFERROR($D115-LOOKUP(2,1/($B$6:$B114=$B115),$D$6:$D114),""))</f>
        <v/>
      </c>
      <c r="F115" s="94">
        <f>IF($E115="","",IF($E115&gt;0.03,"▲ SURGE ENTERING",IF($E115&lt;-0.03,"▼ COOLING","flat")))</f>
        <v/>
      </c>
      <c r="G115" s="95" t="n"/>
    </row>
    <row r="116">
      <c r="A116" s="95" t="n"/>
      <c r="B116" s="95" t="n"/>
      <c r="C116" s="95" t="n"/>
      <c r="D116" s="96" t="n"/>
      <c r="E116" s="93">
        <f>IF($D116="","",IFERROR($D116-LOOKUP(2,1/($B$6:$B115=$B116),$D$6:$D115),""))</f>
        <v/>
      </c>
      <c r="F116" s="94">
        <f>IF($E116="","",IF($E116&gt;0.03,"▲ SURGE ENTERING",IF($E116&lt;-0.03,"▼ COOLING","flat")))</f>
        <v/>
      </c>
      <c r="G116" s="95" t="n"/>
    </row>
    <row r="117">
      <c r="A117" s="95" t="n"/>
      <c r="B117" s="95" t="n"/>
      <c r="C117" s="95" t="n"/>
      <c r="D117" s="96" t="n"/>
      <c r="E117" s="93">
        <f>IF($D117="","",IFERROR($D117-LOOKUP(2,1/($B$6:$B116=$B117),$D$6:$D116),""))</f>
        <v/>
      </c>
      <c r="F117" s="94">
        <f>IF($E117="","",IF($E117&gt;0.03,"▲ SURGE ENTERING",IF($E117&lt;-0.03,"▼ COOLING","flat")))</f>
        <v/>
      </c>
      <c r="G117" s="95" t="n"/>
    </row>
    <row r="118">
      <c r="A118" s="95" t="n"/>
      <c r="B118" s="95" t="n"/>
      <c r="C118" s="95" t="n"/>
      <c r="D118" s="96" t="n"/>
      <c r="E118" s="93">
        <f>IF($D118="","",IFERROR($D118-LOOKUP(2,1/($B$6:$B117=$B118),$D$6:$D117),""))</f>
        <v/>
      </c>
      <c r="F118" s="94">
        <f>IF($E118="","",IF($E118&gt;0.03,"▲ SURGE ENTERING",IF($E118&lt;-0.03,"▼ COOLING","flat")))</f>
        <v/>
      </c>
      <c r="G118" s="95" t="n"/>
    </row>
    <row r="119">
      <c r="A119" s="95" t="n"/>
      <c r="B119" s="95" t="n"/>
      <c r="C119" s="95" t="n"/>
      <c r="D119" s="96" t="n"/>
      <c r="E119" s="93">
        <f>IF($D119="","",IFERROR($D119-LOOKUP(2,1/($B$6:$B118=$B119),$D$6:$D118),""))</f>
        <v/>
      </c>
      <c r="F119" s="94">
        <f>IF($E119="","",IF($E119&gt;0.03,"▲ SURGE ENTERING",IF($E119&lt;-0.03,"▼ COOLING","flat")))</f>
        <v/>
      </c>
      <c r="G119" s="95" t="n"/>
    </row>
    <row r="120">
      <c r="A120" s="95" t="n"/>
      <c r="B120" s="95" t="n"/>
      <c r="C120" s="95" t="n"/>
      <c r="D120" s="96" t="n"/>
      <c r="E120" s="93">
        <f>IF($D120="","",IFERROR($D120-LOOKUP(2,1/($B$6:$B119=$B120),$D$6:$D119),""))</f>
        <v/>
      </c>
      <c r="F120" s="94">
        <f>IF($E120="","",IF($E120&gt;0.03,"▲ SURGE ENTERING",IF($E120&lt;-0.03,"▼ COOLING","flat")))</f>
        <v/>
      </c>
      <c r="G120" s="95" t="n"/>
    </row>
    <row r="121">
      <c r="A121" s="95" t="n"/>
      <c r="B121" s="95" t="n"/>
      <c r="C121" s="95" t="n"/>
      <c r="D121" s="96" t="n"/>
      <c r="E121" s="93">
        <f>IF($D121="","",IFERROR($D121-LOOKUP(2,1/($B$6:$B120=$B121),$D$6:$D120),""))</f>
        <v/>
      </c>
      <c r="F121" s="94">
        <f>IF($E121="","",IF($E121&gt;0.03,"▲ SURGE ENTERING",IF($E121&lt;-0.03,"▼ COOLING","flat")))</f>
        <v/>
      </c>
      <c r="G121" s="95" t="n"/>
    </row>
    <row r="122">
      <c r="A122" s="95" t="n"/>
      <c r="B122" s="95" t="n"/>
      <c r="C122" s="95" t="n"/>
      <c r="D122" s="96" t="n"/>
      <c r="E122" s="93">
        <f>IF($D122="","",IFERROR($D122-LOOKUP(2,1/($B$6:$B121=$B122),$D$6:$D121),""))</f>
        <v/>
      </c>
      <c r="F122" s="94">
        <f>IF($E122="","",IF($E122&gt;0.03,"▲ SURGE ENTERING",IF($E122&lt;-0.03,"▼ COOLING","flat")))</f>
        <v/>
      </c>
      <c r="G122" s="95" t="n"/>
    </row>
    <row r="123">
      <c r="A123" s="95" t="n"/>
      <c r="B123" s="95" t="n"/>
      <c r="C123" s="95" t="n"/>
      <c r="D123" s="96" t="n"/>
      <c r="E123" s="93">
        <f>IF($D123="","",IFERROR($D123-LOOKUP(2,1/($B$6:$B122=$B123),$D$6:$D122),""))</f>
        <v/>
      </c>
      <c r="F123" s="94">
        <f>IF($E123="","",IF($E123&gt;0.03,"▲ SURGE ENTERING",IF($E123&lt;-0.03,"▼ COOLING","flat")))</f>
        <v/>
      </c>
      <c r="G123" s="95" t="n"/>
    </row>
    <row r="124">
      <c r="A124" s="95" t="n"/>
      <c r="B124" s="95" t="n"/>
      <c r="C124" s="95" t="n"/>
      <c r="D124" s="96" t="n"/>
      <c r="E124" s="93">
        <f>IF($D124="","",IFERROR($D124-LOOKUP(2,1/($B$6:$B123=$B124),$D$6:$D123),""))</f>
        <v/>
      </c>
      <c r="F124" s="94">
        <f>IF($E124="","",IF($E124&gt;0.03,"▲ SURGE ENTERING",IF($E124&lt;-0.03,"▼ COOLING","flat")))</f>
        <v/>
      </c>
      <c r="G124" s="95" t="n"/>
    </row>
    <row r="125">
      <c r="A125" s="95" t="n"/>
      <c r="B125" s="95" t="n"/>
      <c r="C125" s="95" t="n"/>
      <c r="D125" s="96" t="n"/>
      <c r="E125" s="93">
        <f>IF($D125="","",IFERROR($D125-LOOKUP(2,1/($B$6:$B124=$B125),$D$6:$D124),""))</f>
        <v/>
      </c>
      <c r="F125" s="94">
        <f>IF($E125="","",IF($E125&gt;0.03,"▲ SURGE ENTERING",IF($E125&lt;-0.03,"▼ COOLING","flat")))</f>
        <v/>
      </c>
      <c r="G125" s="95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2026-07-25T09:05:19Z</dcterms:created>
  <dcterms:modified xmlns:dcterms="http://purl.org/dc/terms/" xmlns:xsi="http://www.w3.org/2001/XMLSchema-instance" xsi:type="dcterms:W3CDTF">2026-07-25T09:05:20Z</dcterms:modified>
</cp:coreProperties>
</file>