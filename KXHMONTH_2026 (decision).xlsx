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felipecardozo/Desktop/Stats/Hottest Month/"/>
    </mc:Choice>
  </mc:AlternateContent>
  <xr:revisionPtr revIDLastSave="0" documentId="13_ncr:1_{49124872-96AA-0648-8665-761802CEC0CC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Jun_2026" sheetId="1" r:id="rId1"/>
    <sheet name="Jul_2026" sheetId="2" r:id="rId2"/>
    <sheet name="Aug_2026" sheetId="3" r:id="rId3"/>
    <sheet name="Sep_2026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" i="4" l="1"/>
  <c r="O52" i="4"/>
  <c r="N52" i="4"/>
  <c r="L52" i="4"/>
  <c r="H52" i="4"/>
  <c r="G52" i="4"/>
  <c r="C52" i="4"/>
  <c r="B52" i="4"/>
  <c r="P51" i="4"/>
  <c r="M51" i="4"/>
  <c r="J51" i="4"/>
  <c r="K51" i="4" s="1"/>
  <c r="I51" i="4"/>
  <c r="F51" i="4"/>
  <c r="E51" i="4"/>
  <c r="D51" i="4"/>
  <c r="S50" i="4"/>
  <c r="J50" i="4"/>
  <c r="M50" i="4" s="1"/>
  <c r="I50" i="4"/>
  <c r="F50" i="4"/>
  <c r="E50" i="4"/>
  <c r="P50" i="4" s="1"/>
  <c r="D50" i="4"/>
  <c r="M49" i="4"/>
  <c r="K49" i="4"/>
  <c r="J49" i="4"/>
  <c r="S49" i="4" s="1"/>
  <c r="I49" i="4"/>
  <c r="F49" i="4"/>
  <c r="D49" i="4"/>
  <c r="K48" i="4"/>
  <c r="J48" i="4"/>
  <c r="S48" i="4" s="1"/>
  <c r="I48" i="4"/>
  <c r="F48" i="4"/>
  <c r="D48" i="4"/>
  <c r="E49" i="4" s="1"/>
  <c r="P49" i="4" s="1"/>
  <c r="S47" i="4"/>
  <c r="P47" i="4"/>
  <c r="M47" i="4"/>
  <c r="K47" i="4"/>
  <c r="J47" i="4"/>
  <c r="I47" i="4"/>
  <c r="F47" i="4"/>
  <c r="E47" i="4"/>
  <c r="D47" i="4"/>
  <c r="S46" i="4"/>
  <c r="J46" i="4"/>
  <c r="M46" i="4" s="1"/>
  <c r="I46" i="4"/>
  <c r="F46" i="4"/>
  <c r="E46" i="4"/>
  <c r="P46" i="4" s="1"/>
  <c r="D46" i="4"/>
  <c r="S45" i="4"/>
  <c r="M45" i="4"/>
  <c r="K45" i="4"/>
  <c r="J45" i="4"/>
  <c r="I45" i="4"/>
  <c r="F45" i="4"/>
  <c r="D45" i="4"/>
  <c r="R44" i="4"/>
  <c r="K44" i="4"/>
  <c r="J44" i="4"/>
  <c r="I44" i="4"/>
  <c r="F44" i="4"/>
  <c r="D44" i="4"/>
  <c r="E45" i="4" s="1"/>
  <c r="P45" i="4" s="1"/>
  <c r="S43" i="4"/>
  <c r="M43" i="4"/>
  <c r="K43" i="4"/>
  <c r="J43" i="4"/>
  <c r="I43" i="4"/>
  <c r="F43" i="4"/>
  <c r="D43" i="4"/>
  <c r="R42" i="4"/>
  <c r="J42" i="4"/>
  <c r="I42" i="4"/>
  <c r="F42" i="4"/>
  <c r="D42" i="4"/>
  <c r="S41" i="4"/>
  <c r="M41" i="4"/>
  <c r="K41" i="4"/>
  <c r="J41" i="4"/>
  <c r="I41" i="4"/>
  <c r="F41" i="4"/>
  <c r="D41" i="4"/>
  <c r="J40" i="4"/>
  <c r="I40" i="4"/>
  <c r="F40" i="4"/>
  <c r="D40" i="4"/>
  <c r="S39" i="4"/>
  <c r="M39" i="4"/>
  <c r="K39" i="4"/>
  <c r="J39" i="4"/>
  <c r="I39" i="4"/>
  <c r="F39" i="4"/>
  <c r="D39" i="4"/>
  <c r="J38" i="4"/>
  <c r="I38" i="4"/>
  <c r="F38" i="4"/>
  <c r="E38" i="4"/>
  <c r="P38" i="4" s="1"/>
  <c r="D38" i="4"/>
  <c r="S37" i="4"/>
  <c r="M37" i="4"/>
  <c r="K37" i="4"/>
  <c r="J37" i="4"/>
  <c r="I37" i="4"/>
  <c r="F37" i="4"/>
  <c r="D37" i="4"/>
  <c r="R36" i="4"/>
  <c r="K36" i="4"/>
  <c r="J36" i="4"/>
  <c r="I36" i="4"/>
  <c r="F36" i="4"/>
  <c r="D36" i="4"/>
  <c r="E37" i="4" s="1"/>
  <c r="P37" i="4" s="1"/>
  <c r="P35" i="4"/>
  <c r="M35" i="4"/>
  <c r="J35" i="4"/>
  <c r="K35" i="4" s="1"/>
  <c r="I35" i="4"/>
  <c r="F35" i="4"/>
  <c r="D35" i="4"/>
  <c r="R34" i="4"/>
  <c r="J34" i="4"/>
  <c r="M34" i="4" s="1"/>
  <c r="I34" i="4"/>
  <c r="F34" i="4"/>
  <c r="D34" i="4"/>
  <c r="S33" i="4"/>
  <c r="R33" i="4"/>
  <c r="M33" i="4"/>
  <c r="K33" i="4"/>
  <c r="J33" i="4"/>
  <c r="I33" i="4"/>
  <c r="F33" i="4"/>
  <c r="D33" i="4"/>
  <c r="E35" i="4" s="1"/>
  <c r="J32" i="4"/>
  <c r="I32" i="4"/>
  <c r="F32" i="4"/>
  <c r="D32" i="4"/>
  <c r="J31" i="4"/>
  <c r="I31" i="4"/>
  <c r="F31" i="4"/>
  <c r="D31" i="4"/>
  <c r="S30" i="4"/>
  <c r="R30" i="4"/>
  <c r="J30" i="4"/>
  <c r="K30" i="4" s="1"/>
  <c r="I30" i="4"/>
  <c r="F30" i="4"/>
  <c r="E30" i="4"/>
  <c r="P30" i="4" s="1"/>
  <c r="D30" i="4"/>
  <c r="S29" i="4"/>
  <c r="R29" i="4"/>
  <c r="M29" i="4"/>
  <c r="K29" i="4"/>
  <c r="J29" i="4"/>
  <c r="I29" i="4"/>
  <c r="F29" i="4"/>
  <c r="D29" i="4"/>
  <c r="E31" i="4" s="1"/>
  <c r="P31" i="4" s="1"/>
  <c r="R28" i="4"/>
  <c r="K28" i="4"/>
  <c r="J28" i="4"/>
  <c r="I28" i="4"/>
  <c r="F28" i="4"/>
  <c r="D28" i="4"/>
  <c r="P27" i="4"/>
  <c r="M27" i="4"/>
  <c r="J27" i="4"/>
  <c r="I27" i="4"/>
  <c r="F27" i="4"/>
  <c r="D27" i="4"/>
  <c r="R26" i="4"/>
  <c r="J26" i="4"/>
  <c r="I26" i="4"/>
  <c r="F26" i="4"/>
  <c r="D26" i="4"/>
  <c r="S25" i="4"/>
  <c r="R25" i="4"/>
  <c r="M25" i="4"/>
  <c r="K25" i="4"/>
  <c r="J25" i="4"/>
  <c r="I25" i="4"/>
  <c r="F25" i="4"/>
  <c r="D25" i="4"/>
  <c r="E27" i="4" s="1"/>
  <c r="J24" i="4"/>
  <c r="I24" i="4"/>
  <c r="F24" i="4"/>
  <c r="D24" i="4"/>
  <c r="M23" i="4"/>
  <c r="J23" i="4"/>
  <c r="I23" i="4"/>
  <c r="F23" i="4"/>
  <c r="D23" i="4"/>
  <c r="S22" i="4"/>
  <c r="R22" i="4"/>
  <c r="J22" i="4"/>
  <c r="F22" i="4"/>
  <c r="D22" i="4"/>
  <c r="S21" i="4"/>
  <c r="M21" i="4"/>
  <c r="K21" i="4"/>
  <c r="E21" i="4"/>
  <c r="P21" i="4" s="1"/>
  <c r="D21" i="4"/>
  <c r="S20" i="4"/>
  <c r="M20" i="4"/>
  <c r="K20" i="4"/>
  <c r="D20" i="4"/>
  <c r="E22" i="4" s="1"/>
  <c r="S19" i="4"/>
  <c r="M19" i="4"/>
  <c r="K19" i="4"/>
  <c r="D19" i="4"/>
  <c r="S18" i="4"/>
  <c r="M18" i="4"/>
  <c r="K18" i="4"/>
  <c r="D18" i="4"/>
  <c r="H15" i="4"/>
  <c r="H14" i="4"/>
  <c r="D12" i="4"/>
  <c r="Q11" i="4"/>
  <c r="Q12" i="4" s="1"/>
  <c r="Q10" i="4"/>
  <c r="D9" i="4"/>
  <c r="H8" i="4"/>
  <c r="H9" i="4" s="1"/>
  <c r="Q7" i="4"/>
  <c r="Q15" i="4" s="1"/>
  <c r="H5" i="4"/>
  <c r="H4" i="4"/>
  <c r="H6" i="4" s="1"/>
  <c r="L63" i="3"/>
  <c r="O53" i="3"/>
  <c r="N53" i="3"/>
  <c r="L53" i="3"/>
  <c r="H53" i="3"/>
  <c r="G53" i="3"/>
  <c r="C53" i="3"/>
  <c r="B53" i="3"/>
  <c r="J52" i="3"/>
  <c r="S52" i="3" s="1"/>
  <c r="I52" i="3"/>
  <c r="F52" i="3"/>
  <c r="D52" i="3"/>
  <c r="J51" i="3"/>
  <c r="S51" i="3" s="1"/>
  <c r="I51" i="3"/>
  <c r="F51" i="3"/>
  <c r="D51" i="3"/>
  <c r="J50" i="3"/>
  <c r="M50" i="3" s="1"/>
  <c r="I50" i="3"/>
  <c r="F50" i="3"/>
  <c r="D50" i="3"/>
  <c r="J49" i="3"/>
  <c r="I49" i="3"/>
  <c r="F49" i="3"/>
  <c r="D49" i="3"/>
  <c r="J48" i="3"/>
  <c r="K48" i="3" s="1"/>
  <c r="I48" i="3"/>
  <c r="F48" i="3"/>
  <c r="D48" i="3"/>
  <c r="R47" i="3"/>
  <c r="J47" i="3"/>
  <c r="S47" i="3" s="1"/>
  <c r="I47" i="3"/>
  <c r="F47" i="3"/>
  <c r="D47" i="3"/>
  <c r="E49" i="3" s="1"/>
  <c r="P49" i="3" s="1"/>
  <c r="R46" i="3"/>
  <c r="J46" i="3"/>
  <c r="M46" i="3" s="1"/>
  <c r="I46" i="3"/>
  <c r="F46" i="3"/>
  <c r="D46" i="3"/>
  <c r="P45" i="3"/>
  <c r="J45" i="3"/>
  <c r="I45" i="3"/>
  <c r="F45" i="3"/>
  <c r="D45" i="3"/>
  <c r="J44" i="3"/>
  <c r="I44" i="3"/>
  <c r="F44" i="3"/>
  <c r="D44" i="3"/>
  <c r="J43" i="3"/>
  <c r="S43" i="3" s="1"/>
  <c r="I43" i="3"/>
  <c r="F43" i="3"/>
  <c r="D43" i="3"/>
  <c r="E45" i="3" s="1"/>
  <c r="J42" i="3"/>
  <c r="M42" i="3" s="1"/>
  <c r="I42" i="3"/>
  <c r="F42" i="3"/>
  <c r="D42" i="3"/>
  <c r="J41" i="3"/>
  <c r="I41" i="3"/>
  <c r="F41" i="3"/>
  <c r="D41" i="3"/>
  <c r="J40" i="3"/>
  <c r="S40" i="3" s="1"/>
  <c r="I40" i="3"/>
  <c r="F40" i="3"/>
  <c r="D40" i="3"/>
  <c r="R39" i="3"/>
  <c r="J39" i="3"/>
  <c r="S39" i="3" s="1"/>
  <c r="I39" i="3"/>
  <c r="F39" i="3"/>
  <c r="D39" i="3"/>
  <c r="E41" i="3" s="1"/>
  <c r="P41" i="3" s="1"/>
  <c r="J38" i="3"/>
  <c r="M38" i="3" s="1"/>
  <c r="I38" i="3"/>
  <c r="F38" i="3"/>
  <c r="D38" i="3"/>
  <c r="J37" i="3"/>
  <c r="S37" i="3" s="1"/>
  <c r="I37" i="3"/>
  <c r="F37" i="3"/>
  <c r="D37" i="3"/>
  <c r="J36" i="3"/>
  <c r="S36" i="3" s="1"/>
  <c r="I36" i="3"/>
  <c r="F36" i="3"/>
  <c r="D36" i="3"/>
  <c r="R35" i="3"/>
  <c r="J35" i="3"/>
  <c r="S35" i="3" s="1"/>
  <c r="I35" i="3"/>
  <c r="F35" i="3"/>
  <c r="D35" i="3"/>
  <c r="E37" i="3" s="1"/>
  <c r="P37" i="3" s="1"/>
  <c r="R34" i="3"/>
  <c r="J34" i="3"/>
  <c r="M34" i="3" s="1"/>
  <c r="I34" i="3"/>
  <c r="F34" i="3"/>
  <c r="D34" i="3"/>
  <c r="P33" i="3"/>
  <c r="J33" i="3"/>
  <c r="I33" i="3"/>
  <c r="F33" i="3"/>
  <c r="D33" i="3"/>
  <c r="J32" i="3"/>
  <c r="K32" i="3" s="1"/>
  <c r="I32" i="3"/>
  <c r="F32" i="3"/>
  <c r="D32" i="3"/>
  <c r="J31" i="3"/>
  <c r="S31" i="3" s="1"/>
  <c r="I31" i="3"/>
  <c r="F31" i="3"/>
  <c r="D31" i="3"/>
  <c r="E33" i="3" s="1"/>
  <c r="J30" i="3"/>
  <c r="M30" i="3" s="1"/>
  <c r="I30" i="3"/>
  <c r="F30" i="3"/>
  <c r="D30" i="3"/>
  <c r="J29" i="3"/>
  <c r="I29" i="3"/>
  <c r="F29" i="3"/>
  <c r="D29" i="3"/>
  <c r="J28" i="3"/>
  <c r="K28" i="3" s="1"/>
  <c r="I28" i="3"/>
  <c r="F28" i="3"/>
  <c r="D28" i="3"/>
  <c r="R27" i="3"/>
  <c r="J27" i="3"/>
  <c r="S27" i="3" s="1"/>
  <c r="I27" i="3"/>
  <c r="F27" i="3"/>
  <c r="D27" i="3"/>
  <c r="E29" i="3" s="1"/>
  <c r="P29" i="3" s="1"/>
  <c r="R26" i="3"/>
  <c r="F26" i="3"/>
  <c r="D26" i="3"/>
  <c r="E26" i="3" s="1"/>
  <c r="P26" i="3" s="1"/>
  <c r="P25" i="3"/>
  <c r="I25" i="3"/>
  <c r="F25" i="3"/>
  <c r="D25" i="3"/>
  <c r="F24" i="3"/>
  <c r="D24" i="3"/>
  <c r="F23" i="3"/>
  <c r="D23" i="3"/>
  <c r="E25" i="3" s="1"/>
  <c r="F22" i="3"/>
  <c r="D22" i="3"/>
  <c r="S21" i="3"/>
  <c r="M21" i="3"/>
  <c r="K21" i="3"/>
  <c r="D21" i="3"/>
  <c r="S20" i="3"/>
  <c r="M20" i="3"/>
  <c r="K20" i="3"/>
  <c r="D20" i="3"/>
  <c r="S19" i="3"/>
  <c r="M19" i="3"/>
  <c r="K19" i="3"/>
  <c r="E19" i="3"/>
  <c r="P19" i="3" s="1"/>
  <c r="D19" i="3"/>
  <c r="E21" i="3" s="1"/>
  <c r="P21" i="3" s="1"/>
  <c r="S18" i="3"/>
  <c r="M18" i="3"/>
  <c r="K18" i="3"/>
  <c r="D18" i="3"/>
  <c r="H12" i="3"/>
  <c r="D12" i="3"/>
  <c r="Q11" i="3"/>
  <c r="Q10" i="3"/>
  <c r="D9" i="3"/>
  <c r="Q7" i="3"/>
  <c r="H4" i="3"/>
  <c r="H6" i="3" s="1"/>
  <c r="L63" i="2"/>
  <c r="K63" i="2"/>
  <c r="J63" i="2"/>
  <c r="I63" i="2"/>
  <c r="O53" i="2"/>
  <c r="N53" i="2"/>
  <c r="L53" i="2"/>
  <c r="H53" i="2"/>
  <c r="G53" i="2"/>
  <c r="C53" i="2"/>
  <c r="B53" i="2"/>
  <c r="R52" i="2"/>
  <c r="I52" i="2"/>
  <c r="F52" i="2"/>
  <c r="D52" i="2"/>
  <c r="E52" i="2" s="1"/>
  <c r="P52" i="2" s="1"/>
  <c r="I51" i="2"/>
  <c r="F51" i="2"/>
  <c r="D51" i="2"/>
  <c r="I50" i="2"/>
  <c r="F50" i="2"/>
  <c r="D50" i="2"/>
  <c r="I49" i="2"/>
  <c r="F49" i="2"/>
  <c r="D49" i="2"/>
  <c r="E51" i="2" s="1"/>
  <c r="P51" i="2" s="1"/>
  <c r="R48" i="2"/>
  <c r="F48" i="2"/>
  <c r="E48" i="2"/>
  <c r="P48" i="2" s="1"/>
  <c r="D48" i="2"/>
  <c r="R47" i="2"/>
  <c r="F47" i="2"/>
  <c r="E47" i="2"/>
  <c r="P47" i="2" s="1"/>
  <c r="D47" i="2"/>
  <c r="E49" i="2" s="1"/>
  <c r="P49" i="2" s="1"/>
  <c r="R46" i="2"/>
  <c r="F46" i="2"/>
  <c r="D46" i="2"/>
  <c r="R45" i="2"/>
  <c r="I45" i="2"/>
  <c r="F45" i="2"/>
  <c r="D45" i="2"/>
  <c r="F44" i="2"/>
  <c r="D44" i="2"/>
  <c r="E46" i="2" s="1"/>
  <c r="P46" i="2" s="1"/>
  <c r="F43" i="2"/>
  <c r="E43" i="2"/>
  <c r="P43" i="2" s="1"/>
  <c r="D43" i="2"/>
  <c r="F42" i="2"/>
  <c r="D42" i="2"/>
  <c r="E42" i="2" s="1"/>
  <c r="P42" i="2" s="1"/>
  <c r="I41" i="2"/>
  <c r="F41" i="2"/>
  <c r="D41" i="2"/>
  <c r="F40" i="2"/>
  <c r="E40" i="2"/>
  <c r="P40" i="2" s="1"/>
  <c r="D40" i="2"/>
  <c r="R39" i="2"/>
  <c r="F39" i="2"/>
  <c r="D39" i="2"/>
  <c r="F38" i="2"/>
  <c r="D38" i="2"/>
  <c r="P37" i="2"/>
  <c r="F37" i="2"/>
  <c r="D37" i="2"/>
  <c r="F36" i="2"/>
  <c r="D36" i="2"/>
  <c r="F35" i="2"/>
  <c r="D35" i="2"/>
  <c r="E37" i="2" s="1"/>
  <c r="F34" i="2"/>
  <c r="D34" i="2"/>
  <c r="E34" i="2" s="1"/>
  <c r="P34" i="2" s="1"/>
  <c r="R33" i="2"/>
  <c r="F33" i="2"/>
  <c r="D33" i="2"/>
  <c r="R32" i="2"/>
  <c r="F32" i="2"/>
  <c r="E32" i="2"/>
  <c r="P32" i="2" s="1"/>
  <c r="D32" i="2"/>
  <c r="I31" i="2"/>
  <c r="F31" i="2"/>
  <c r="D31" i="2"/>
  <c r="E33" i="2" s="1"/>
  <c r="P33" i="2" s="1"/>
  <c r="F30" i="2"/>
  <c r="E30" i="2"/>
  <c r="P30" i="2" s="1"/>
  <c r="D30" i="2"/>
  <c r="F29" i="2"/>
  <c r="D29" i="2"/>
  <c r="R28" i="2"/>
  <c r="I28" i="2"/>
  <c r="F28" i="2"/>
  <c r="D28" i="2"/>
  <c r="F27" i="2"/>
  <c r="D27" i="2"/>
  <c r="E29" i="2" s="1"/>
  <c r="P29" i="2" s="1"/>
  <c r="F26" i="2"/>
  <c r="D26" i="2"/>
  <c r="F25" i="2"/>
  <c r="E25" i="2"/>
  <c r="P25" i="2" s="1"/>
  <c r="D25" i="2"/>
  <c r="R24" i="2"/>
  <c r="F24" i="2"/>
  <c r="D24" i="2"/>
  <c r="E26" i="2" s="1"/>
  <c r="P26" i="2" s="1"/>
  <c r="R23" i="2"/>
  <c r="P23" i="2"/>
  <c r="F23" i="2"/>
  <c r="D23" i="2"/>
  <c r="R22" i="2"/>
  <c r="F22" i="2"/>
  <c r="D22" i="2"/>
  <c r="S21" i="2"/>
  <c r="M21" i="2"/>
  <c r="K21" i="2"/>
  <c r="D21" i="2"/>
  <c r="E23" i="2" s="1"/>
  <c r="S20" i="2"/>
  <c r="M20" i="2"/>
  <c r="K20" i="2"/>
  <c r="D20" i="2"/>
  <c r="S19" i="2"/>
  <c r="M19" i="2"/>
  <c r="K19" i="2"/>
  <c r="D19" i="2"/>
  <c r="S18" i="2"/>
  <c r="M18" i="2"/>
  <c r="K18" i="2"/>
  <c r="E18" i="2"/>
  <c r="P18" i="2" s="1"/>
  <c r="D18" i="2"/>
  <c r="E20" i="2" s="1"/>
  <c r="P20" i="2" s="1"/>
  <c r="Q15" i="2"/>
  <c r="D12" i="2"/>
  <c r="Q10" i="2"/>
  <c r="Q11" i="2" s="1"/>
  <c r="Q12" i="2" s="1"/>
  <c r="D9" i="2"/>
  <c r="Q7" i="2"/>
  <c r="H4" i="2"/>
  <c r="L62" i="1"/>
  <c r="K62" i="1"/>
  <c r="J62" i="1"/>
  <c r="I62" i="1"/>
  <c r="O52" i="1"/>
  <c r="N52" i="1"/>
  <c r="L52" i="1"/>
  <c r="H52" i="1"/>
  <c r="G52" i="1"/>
  <c r="C52" i="1"/>
  <c r="B52" i="1"/>
  <c r="R51" i="1"/>
  <c r="I51" i="1"/>
  <c r="F51" i="1"/>
  <c r="D51" i="1"/>
  <c r="E51" i="1" s="1"/>
  <c r="P51" i="1" s="1"/>
  <c r="P50" i="1"/>
  <c r="I50" i="1"/>
  <c r="F50" i="1"/>
  <c r="D50" i="1"/>
  <c r="F49" i="1"/>
  <c r="E49" i="1"/>
  <c r="P49" i="1" s="1"/>
  <c r="D49" i="1"/>
  <c r="I48" i="1"/>
  <c r="F48" i="1"/>
  <c r="E48" i="1"/>
  <c r="P48" i="1" s="1"/>
  <c r="D48" i="1"/>
  <c r="E50" i="1" s="1"/>
  <c r="I47" i="1"/>
  <c r="F47" i="1"/>
  <c r="E47" i="1"/>
  <c r="P47" i="1" s="1"/>
  <c r="D47" i="1"/>
  <c r="I46" i="1"/>
  <c r="F46" i="1"/>
  <c r="D46" i="1"/>
  <c r="F45" i="1"/>
  <c r="E45" i="1"/>
  <c r="P45" i="1" s="1"/>
  <c r="D45" i="1"/>
  <c r="I44" i="1"/>
  <c r="F44" i="1"/>
  <c r="E44" i="1"/>
  <c r="P44" i="1" s="1"/>
  <c r="D44" i="1"/>
  <c r="E46" i="1" s="1"/>
  <c r="P46" i="1" s="1"/>
  <c r="I43" i="1"/>
  <c r="F43" i="1"/>
  <c r="E43" i="1"/>
  <c r="P43" i="1" s="1"/>
  <c r="D43" i="1"/>
  <c r="I42" i="1"/>
  <c r="F42" i="1"/>
  <c r="D42" i="1"/>
  <c r="F41" i="1"/>
  <c r="E41" i="1"/>
  <c r="P41" i="1" s="1"/>
  <c r="D41" i="1"/>
  <c r="I40" i="1"/>
  <c r="F40" i="1"/>
  <c r="E40" i="1"/>
  <c r="P40" i="1" s="1"/>
  <c r="D40" i="1"/>
  <c r="E42" i="1" s="1"/>
  <c r="P42" i="1" s="1"/>
  <c r="I39" i="1"/>
  <c r="F39" i="1"/>
  <c r="E39" i="1"/>
  <c r="P39" i="1" s="1"/>
  <c r="D39" i="1"/>
  <c r="I38" i="1"/>
  <c r="F38" i="1"/>
  <c r="D38" i="1"/>
  <c r="F37" i="1"/>
  <c r="E37" i="1"/>
  <c r="P37" i="1" s="1"/>
  <c r="D37" i="1"/>
  <c r="I36" i="1"/>
  <c r="F36" i="1"/>
  <c r="E36" i="1"/>
  <c r="P36" i="1" s="1"/>
  <c r="D36" i="1"/>
  <c r="E38" i="1" s="1"/>
  <c r="P38" i="1" s="1"/>
  <c r="I35" i="1"/>
  <c r="F35" i="1"/>
  <c r="E35" i="1"/>
  <c r="P35" i="1" s="1"/>
  <c r="D35" i="1"/>
  <c r="I34" i="1"/>
  <c r="F34" i="1"/>
  <c r="D34" i="1"/>
  <c r="F33" i="1"/>
  <c r="E33" i="1"/>
  <c r="P33" i="1" s="1"/>
  <c r="D33" i="1"/>
  <c r="P32" i="1"/>
  <c r="I32" i="1"/>
  <c r="F32" i="1"/>
  <c r="E32" i="1"/>
  <c r="D32" i="1"/>
  <c r="I31" i="1"/>
  <c r="F31" i="1"/>
  <c r="D31" i="1"/>
  <c r="F30" i="1"/>
  <c r="D30" i="1"/>
  <c r="R29" i="1"/>
  <c r="F29" i="1"/>
  <c r="D29" i="1"/>
  <c r="E31" i="1" s="1"/>
  <c r="P31" i="1" s="1"/>
  <c r="R28" i="1"/>
  <c r="P28" i="1"/>
  <c r="F28" i="1"/>
  <c r="D28" i="1"/>
  <c r="E30" i="1" s="1"/>
  <c r="P30" i="1" s="1"/>
  <c r="R27" i="1"/>
  <c r="F27" i="1"/>
  <c r="E27" i="1"/>
  <c r="P27" i="1" s="1"/>
  <c r="D27" i="1"/>
  <c r="R26" i="1"/>
  <c r="F26" i="1"/>
  <c r="D26" i="1"/>
  <c r="E28" i="1" s="1"/>
  <c r="R25" i="1"/>
  <c r="F25" i="1"/>
  <c r="D25" i="1"/>
  <c r="I24" i="1"/>
  <c r="F24" i="1"/>
  <c r="D24" i="1"/>
  <c r="E26" i="1" s="1"/>
  <c r="P26" i="1" s="1"/>
  <c r="I23" i="1"/>
  <c r="F23" i="1"/>
  <c r="D23" i="1"/>
  <c r="I22" i="1"/>
  <c r="F22" i="1"/>
  <c r="F52" i="1" s="1"/>
  <c r="D22" i="1"/>
  <c r="S21" i="1"/>
  <c r="M21" i="1"/>
  <c r="K21" i="1"/>
  <c r="D21" i="1"/>
  <c r="E23" i="1" s="1"/>
  <c r="P23" i="1" s="1"/>
  <c r="S20" i="1"/>
  <c r="M20" i="1"/>
  <c r="K20" i="1"/>
  <c r="D20" i="1"/>
  <c r="S19" i="1"/>
  <c r="M19" i="1"/>
  <c r="K19" i="1"/>
  <c r="D19" i="1"/>
  <c r="S18" i="1"/>
  <c r="M18" i="1"/>
  <c r="K18" i="1"/>
  <c r="D18" i="1"/>
  <c r="Q15" i="1"/>
  <c r="Q12" i="1"/>
  <c r="D12" i="1"/>
  <c r="Q10" i="1"/>
  <c r="Q11" i="1" s="1"/>
  <c r="D10" i="1"/>
  <c r="D11" i="1" s="1"/>
  <c r="J50" i="1" s="1"/>
  <c r="D9" i="1"/>
  <c r="R45" i="1" s="1"/>
  <c r="Q7" i="1"/>
  <c r="H4" i="1"/>
  <c r="K38" i="3" l="1"/>
  <c r="K47" i="3"/>
  <c r="K27" i="3"/>
  <c r="S30" i="3"/>
  <c r="K42" i="3"/>
  <c r="M48" i="3"/>
  <c r="K30" i="3"/>
  <c r="M27" i="3"/>
  <c r="S42" i="3"/>
  <c r="S48" i="3"/>
  <c r="S38" i="3"/>
  <c r="K43" i="3"/>
  <c r="M47" i="3"/>
  <c r="K50" i="3"/>
  <c r="F53" i="3"/>
  <c r="S28" i="3"/>
  <c r="M31" i="3"/>
  <c r="M39" i="3"/>
  <c r="K51" i="3"/>
  <c r="K36" i="3"/>
  <c r="K35" i="3"/>
  <c r="M36" i="3"/>
  <c r="S34" i="3"/>
  <c r="K46" i="3"/>
  <c r="M51" i="3"/>
  <c r="M43" i="3"/>
  <c r="S46" i="3"/>
  <c r="S50" i="3"/>
  <c r="M28" i="3"/>
  <c r="K31" i="3"/>
  <c r="K34" i="3"/>
  <c r="M35" i="3"/>
  <c r="K39" i="3"/>
  <c r="S50" i="1"/>
  <c r="M50" i="1"/>
  <c r="K50" i="1"/>
  <c r="J23" i="1"/>
  <c r="J45" i="1"/>
  <c r="M44" i="3"/>
  <c r="S44" i="3"/>
  <c r="E36" i="2"/>
  <c r="P36" i="2" s="1"/>
  <c r="K44" i="3"/>
  <c r="E33" i="4"/>
  <c r="P33" i="4" s="1"/>
  <c r="E34" i="4"/>
  <c r="F53" i="2"/>
  <c r="E24" i="3"/>
  <c r="P24" i="3" s="1"/>
  <c r="D53" i="3"/>
  <c r="M33" i="3"/>
  <c r="K33" i="3"/>
  <c r="J48" i="1"/>
  <c r="J44" i="1"/>
  <c r="J40" i="1"/>
  <c r="J36" i="1"/>
  <c r="J51" i="1"/>
  <c r="J29" i="1"/>
  <c r="J28" i="1"/>
  <c r="J27" i="1"/>
  <c r="J24" i="1"/>
  <c r="J26" i="1"/>
  <c r="J25" i="1"/>
  <c r="J30" i="1"/>
  <c r="E52" i="3"/>
  <c r="P52" i="3" s="1"/>
  <c r="E50" i="3"/>
  <c r="P50" i="3" s="1"/>
  <c r="E19" i="2"/>
  <c r="P19" i="2" s="1"/>
  <c r="E28" i="2"/>
  <c r="P28" i="2" s="1"/>
  <c r="E27" i="2"/>
  <c r="P27" i="2" s="1"/>
  <c r="E31" i="2"/>
  <c r="P31" i="2" s="1"/>
  <c r="E22" i="3"/>
  <c r="M45" i="3"/>
  <c r="K45" i="3"/>
  <c r="K26" i="4"/>
  <c r="S26" i="4"/>
  <c r="D52" i="1"/>
  <c r="E24" i="1"/>
  <c r="P24" i="1" s="1"/>
  <c r="J47" i="1"/>
  <c r="M26" i="4"/>
  <c r="M42" i="4"/>
  <c r="K42" i="4"/>
  <c r="S42" i="4"/>
  <c r="J49" i="1"/>
  <c r="Q15" i="3"/>
  <c r="Q12" i="3"/>
  <c r="E40" i="3"/>
  <c r="P40" i="3" s="1"/>
  <c r="E38" i="3"/>
  <c r="P38" i="3" s="1"/>
  <c r="E18" i="1"/>
  <c r="P18" i="1" s="1"/>
  <c r="E19" i="1"/>
  <c r="P19" i="1" s="1"/>
  <c r="E20" i="1"/>
  <c r="P20" i="1" s="1"/>
  <c r="J39" i="1"/>
  <c r="J46" i="1"/>
  <c r="H8" i="1"/>
  <c r="H9" i="1" s="1"/>
  <c r="H6" i="1"/>
  <c r="E22" i="1"/>
  <c r="P22" i="1" s="1"/>
  <c r="H8" i="2"/>
  <c r="H9" i="2" s="1"/>
  <c r="H5" i="2"/>
  <c r="D10" i="2"/>
  <c r="D11" i="2" s="1"/>
  <c r="E50" i="2"/>
  <c r="P50" i="2" s="1"/>
  <c r="S33" i="3"/>
  <c r="J32" i="1"/>
  <c r="J35" i="1"/>
  <c r="H5" i="3"/>
  <c r="D10" i="3"/>
  <c r="D11" i="3" s="1"/>
  <c r="H8" i="3"/>
  <c r="H9" i="3" s="1"/>
  <c r="J22" i="1"/>
  <c r="J31" i="1"/>
  <c r="J37" i="1"/>
  <c r="J42" i="1"/>
  <c r="E25" i="4"/>
  <c r="P25" i="4" s="1"/>
  <c r="E26" i="4"/>
  <c r="P26" i="4" s="1"/>
  <c r="K34" i="4"/>
  <c r="S34" i="4"/>
  <c r="E21" i="1"/>
  <c r="E44" i="2"/>
  <c r="P44" i="2" s="1"/>
  <c r="J34" i="1"/>
  <c r="J41" i="1"/>
  <c r="H5" i="1"/>
  <c r="E25" i="1"/>
  <c r="P25" i="1" s="1"/>
  <c r="E29" i="1"/>
  <c r="P29" i="1" s="1"/>
  <c r="J33" i="1"/>
  <c r="J38" i="1"/>
  <c r="J43" i="1"/>
  <c r="H6" i="2"/>
  <c r="E45" i="2"/>
  <c r="P45" i="2" s="1"/>
  <c r="S32" i="3"/>
  <c r="M32" i="3"/>
  <c r="M41" i="3"/>
  <c r="K41" i="3"/>
  <c r="S41" i="3"/>
  <c r="S45" i="3"/>
  <c r="E48" i="3"/>
  <c r="P48" i="3" s="1"/>
  <c r="E46" i="3"/>
  <c r="P46" i="3" s="1"/>
  <c r="R49" i="3"/>
  <c r="R45" i="3"/>
  <c r="R41" i="3"/>
  <c r="R37" i="3"/>
  <c r="R33" i="3"/>
  <c r="R29" i="3"/>
  <c r="R25" i="3"/>
  <c r="R52" i="3"/>
  <c r="R48" i="3"/>
  <c r="R44" i="3"/>
  <c r="R40" i="3"/>
  <c r="R36" i="3"/>
  <c r="R32" i="3"/>
  <c r="R28" i="3"/>
  <c r="R24" i="3"/>
  <c r="I26" i="3"/>
  <c r="I22" i="3"/>
  <c r="R23" i="3"/>
  <c r="R22" i="3"/>
  <c r="I24" i="3"/>
  <c r="M29" i="3"/>
  <c r="K29" i="3"/>
  <c r="E36" i="3"/>
  <c r="P36" i="3" s="1"/>
  <c r="E34" i="3"/>
  <c r="P34" i="3" s="1"/>
  <c r="R42" i="3"/>
  <c r="K52" i="3"/>
  <c r="L15" i="4"/>
  <c r="S24" i="4"/>
  <c r="M24" i="4"/>
  <c r="M52" i="4" s="1"/>
  <c r="K24" i="4"/>
  <c r="R31" i="1"/>
  <c r="I27" i="1"/>
  <c r="R32" i="1"/>
  <c r="R35" i="1"/>
  <c r="R36" i="1"/>
  <c r="R39" i="1"/>
  <c r="R40" i="1"/>
  <c r="R43" i="1"/>
  <c r="R44" i="1"/>
  <c r="R47" i="1"/>
  <c r="R48" i="1"/>
  <c r="R50" i="2"/>
  <c r="I44" i="2"/>
  <c r="I40" i="2"/>
  <c r="I36" i="2"/>
  <c r="I32" i="2"/>
  <c r="R51" i="2"/>
  <c r="I48" i="2"/>
  <c r="R42" i="2"/>
  <c r="R41" i="2"/>
  <c r="I37" i="2"/>
  <c r="R31" i="2"/>
  <c r="R25" i="2"/>
  <c r="I46" i="2"/>
  <c r="R40" i="2"/>
  <c r="I35" i="2"/>
  <c r="R30" i="2"/>
  <c r="R29" i="2"/>
  <c r="I27" i="2"/>
  <c r="I23" i="2"/>
  <c r="I43" i="2"/>
  <c r="R38" i="2"/>
  <c r="R37" i="2"/>
  <c r="I33" i="2"/>
  <c r="I26" i="2"/>
  <c r="I22" i="2"/>
  <c r="E21" i="2"/>
  <c r="P21" i="2" s="1"/>
  <c r="I24" i="2"/>
  <c r="I25" i="2"/>
  <c r="R27" i="2"/>
  <c r="E35" i="2"/>
  <c r="I34" i="2"/>
  <c r="R35" i="2"/>
  <c r="R36" i="2"/>
  <c r="I39" i="2"/>
  <c r="R44" i="2"/>
  <c r="R30" i="3"/>
  <c r="K40" i="3"/>
  <c r="R43" i="3"/>
  <c r="M49" i="3"/>
  <c r="K49" i="3"/>
  <c r="M52" i="3"/>
  <c r="E18" i="4"/>
  <c r="P18" i="4" s="1"/>
  <c r="E19" i="4"/>
  <c r="P19" i="4" s="1"/>
  <c r="P22" i="4"/>
  <c r="S32" i="4"/>
  <c r="M32" i="4"/>
  <c r="K32" i="4"/>
  <c r="E41" i="4"/>
  <c r="P41" i="4" s="1"/>
  <c r="E42" i="4"/>
  <c r="P42" i="4" s="1"/>
  <c r="I26" i="1"/>
  <c r="R30" i="1"/>
  <c r="R22" i="1"/>
  <c r="R23" i="1"/>
  <c r="I28" i="1"/>
  <c r="E34" i="1"/>
  <c r="R33" i="1"/>
  <c r="R37" i="1"/>
  <c r="R41" i="1"/>
  <c r="D53" i="2"/>
  <c r="E24" i="2"/>
  <c r="P24" i="2" s="1"/>
  <c r="R26" i="2"/>
  <c r="I30" i="2"/>
  <c r="E39" i="2"/>
  <c r="P39" i="2" s="1"/>
  <c r="I38" i="2"/>
  <c r="R43" i="2"/>
  <c r="S29" i="3"/>
  <c r="R31" i="3"/>
  <c r="M37" i="3"/>
  <c r="K37" i="3"/>
  <c r="M40" i="3"/>
  <c r="E44" i="3"/>
  <c r="P44" i="3" s="1"/>
  <c r="E42" i="3"/>
  <c r="P42" i="3" s="1"/>
  <c r="R50" i="3"/>
  <c r="E20" i="4"/>
  <c r="P20" i="4" s="1"/>
  <c r="K27" i="4"/>
  <c r="S27" i="4"/>
  <c r="S40" i="4"/>
  <c r="M40" i="4"/>
  <c r="K40" i="4"/>
  <c r="I49" i="1"/>
  <c r="I45" i="1"/>
  <c r="I41" i="1"/>
  <c r="I37" i="1"/>
  <c r="I33" i="1"/>
  <c r="I29" i="1"/>
  <c r="I25" i="1"/>
  <c r="R50" i="1"/>
  <c r="R46" i="1"/>
  <c r="R42" i="1"/>
  <c r="R38" i="1"/>
  <c r="R34" i="1"/>
  <c r="R49" i="1"/>
  <c r="R24" i="1"/>
  <c r="I30" i="1"/>
  <c r="E22" i="2"/>
  <c r="I29" i="2"/>
  <c r="R34" i="2"/>
  <c r="E38" i="2"/>
  <c r="P38" i="2" s="1"/>
  <c r="I42" i="2"/>
  <c r="R49" i="2"/>
  <c r="E20" i="3"/>
  <c r="P20" i="3" s="1"/>
  <c r="E18" i="3"/>
  <c r="P18" i="3" s="1"/>
  <c r="I23" i="3"/>
  <c r="E32" i="3"/>
  <c r="P32" i="3" s="1"/>
  <c r="E30" i="3"/>
  <c r="P30" i="3" s="1"/>
  <c r="R38" i="3"/>
  <c r="S49" i="3"/>
  <c r="R51" i="3"/>
  <c r="E32" i="4"/>
  <c r="P32" i="4" s="1"/>
  <c r="E40" i="4"/>
  <c r="P40" i="4" s="1"/>
  <c r="E39" i="4"/>
  <c r="P39" i="4" s="1"/>
  <c r="E23" i="3"/>
  <c r="P23" i="3" s="1"/>
  <c r="E31" i="3"/>
  <c r="P31" i="3" s="1"/>
  <c r="E35" i="3"/>
  <c r="E39" i="3"/>
  <c r="P39" i="3" s="1"/>
  <c r="E43" i="3"/>
  <c r="P43" i="3" s="1"/>
  <c r="E47" i="3"/>
  <c r="P47" i="3" s="1"/>
  <c r="E51" i="3"/>
  <c r="P51" i="3" s="1"/>
  <c r="D52" i="4"/>
  <c r="E24" i="4"/>
  <c r="P24" i="4" s="1"/>
  <c r="E29" i="4"/>
  <c r="P29" i="4" s="1"/>
  <c r="E28" i="3"/>
  <c r="P28" i="3" s="1"/>
  <c r="R50" i="4"/>
  <c r="R46" i="4"/>
  <c r="R49" i="4"/>
  <c r="R45" i="4"/>
  <c r="R41" i="4"/>
  <c r="R37" i="4"/>
  <c r="R48" i="4"/>
  <c r="R51" i="4"/>
  <c r="R47" i="4"/>
  <c r="R43" i="4"/>
  <c r="R39" i="4"/>
  <c r="R35" i="4"/>
  <c r="R31" i="4"/>
  <c r="R27" i="4"/>
  <c r="R23" i="4"/>
  <c r="F52" i="4"/>
  <c r="K23" i="4"/>
  <c r="S23" i="4"/>
  <c r="R24" i="4"/>
  <c r="K31" i="4"/>
  <c r="S31" i="4"/>
  <c r="R32" i="4"/>
  <c r="M38" i="4"/>
  <c r="K38" i="4"/>
  <c r="R40" i="4"/>
  <c r="E44" i="4"/>
  <c r="P44" i="4" s="1"/>
  <c r="E43" i="4"/>
  <c r="P43" i="4" s="1"/>
  <c r="E41" i="2"/>
  <c r="P41" i="2" s="1"/>
  <c r="H14" i="3"/>
  <c r="H15" i="3" s="1"/>
  <c r="H13" i="3"/>
  <c r="E27" i="3"/>
  <c r="P27" i="3" s="1"/>
  <c r="K22" i="4"/>
  <c r="J52" i="4"/>
  <c r="E28" i="4"/>
  <c r="P28" i="4" s="1"/>
  <c r="M31" i="4"/>
  <c r="E36" i="4"/>
  <c r="P36" i="4" s="1"/>
  <c r="R38" i="4"/>
  <c r="E23" i="4"/>
  <c r="P23" i="4" s="1"/>
  <c r="M22" i="4"/>
  <c r="S28" i="4"/>
  <c r="M28" i="4"/>
  <c r="M30" i="4"/>
  <c r="S36" i="4"/>
  <c r="M36" i="4"/>
  <c r="S38" i="4"/>
  <c r="S44" i="4"/>
  <c r="M44" i="4"/>
  <c r="D10" i="4"/>
  <c r="D11" i="4" s="1"/>
  <c r="H10" i="4" s="1"/>
  <c r="H12" i="4" s="1"/>
  <c r="H13" i="4" s="1"/>
  <c r="M48" i="4"/>
  <c r="S35" i="4"/>
  <c r="S51" i="4"/>
  <c r="K46" i="4"/>
  <c r="E48" i="4"/>
  <c r="P48" i="4" s="1"/>
  <c r="K50" i="4"/>
  <c r="S38" i="1" l="1"/>
  <c r="M38" i="1"/>
  <c r="K38" i="1"/>
  <c r="E52" i="1"/>
  <c r="P21" i="1"/>
  <c r="S22" i="1"/>
  <c r="M22" i="1"/>
  <c r="J52" i="1"/>
  <c r="K22" i="1"/>
  <c r="J52" i="2"/>
  <c r="J48" i="2"/>
  <c r="J47" i="2"/>
  <c r="J46" i="2"/>
  <c r="J36" i="2"/>
  <c r="J35" i="2"/>
  <c r="J27" i="2"/>
  <c r="J23" i="2"/>
  <c r="J45" i="2"/>
  <c r="J34" i="2"/>
  <c r="J51" i="2"/>
  <c r="J42" i="2"/>
  <c r="J32" i="2"/>
  <c r="J31" i="2"/>
  <c r="J38" i="2"/>
  <c r="J33" i="2"/>
  <c r="J30" i="2"/>
  <c r="J39" i="2"/>
  <c r="J25" i="2"/>
  <c r="J24" i="2"/>
  <c r="J26" i="2"/>
  <c r="J43" i="2"/>
  <c r="J50" i="2"/>
  <c r="J49" i="2"/>
  <c r="J40" i="2"/>
  <c r="J37" i="2"/>
  <c r="J28" i="2"/>
  <c r="J41" i="2"/>
  <c r="J44" i="2"/>
  <c r="J29" i="2"/>
  <c r="J22" i="2"/>
  <c r="M39" i="1"/>
  <c r="S39" i="1"/>
  <c r="K39" i="1"/>
  <c r="S49" i="1"/>
  <c r="M49" i="1"/>
  <c r="K49" i="1"/>
  <c r="K28" i="1"/>
  <c r="M28" i="1"/>
  <c r="S28" i="1"/>
  <c r="E53" i="2"/>
  <c r="P22" i="2"/>
  <c r="S33" i="1"/>
  <c r="M33" i="1"/>
  <c r="K33" i="1"/>
  <c r="L15" i="3"/>
  <c r="H10" i="3"/>
  <c r="S29" i="1"/>
  <c r="M29" i="1"/>
  <c r="K29" i="1"/>
  <c r="P34" i="1"/>
  <c r="L11" i="1"/>
  <c r="L12" i="1" s="1"/>
  <c r="J23" i="3"/>
  <c r="J26" i="3"/>
  <c r="J22" i="3"/>
  <c r="J24" i="3"/>
  <c r="J25" i="3"/>
  <c r="L15" i="2"/>
  <c r="H10" i="2"/>
  <c r="H12" i="2" s="1"/>
  <c r="M51" i="1"/>
  <c r="S51" i="1"/>
  <c r="K51" i="1"/>
  <c r="S45" i="1"/>
  <c r="M45" i="1"/>
  <c r="K45" i="1"/>
  <c r="S30" i="1"/>
  <c r="M30" i="1"/>
  <c r="K30" i="1"/>
  <c r="K36" i="1"/>
  <c r="S36" i="1"/>
  <c r="M36" i="1"/>
  <c r="S23" i="1"/>
  <c r="M23" i="1"/>
  <c r="K23" i="1"/>
  <c r="E53" i="3"/>
  <c r="P22" i="3"/>
  <c r="K40" i="1"/>
  <c r="S40" i="1"/>
  <c r="M40" i="1"/>
  <c r="P34" i="4"/>
  <c r="L11" i="4"/>
  <c r="L12" i="4" s="1"/>
  <c r="L11" i="2"/>
  <c r="L12" i="2" s="1"/>
  <c r="P35" i="2"/>
  <c r="M35" i="1"/>
  <c r="S35" i="1"/>
  <c r="K35" i="1"/>
  <c r="M25" i="1"/>
  <c r="K25" i="1"/>
  <c r="S25" i="1"/>
  <c r="K52" i="4"/>
  <c r="L11" i="3"/>
  <c r="L12" i="3" s="1"/>
  <c r="P35" i="3"/>
  <c r="S41" i="1"/>
  <c r="M41" i="1"/>
  <c r="K41" i="1"/>
  <c r="S42" i="1"/>
  <c r="M42" i="1"/>
  <c r="K42" i="1"/>
  <c r="K32" i="1"/>
  <c r="S32" i="1"/>
  <c r="M32" i="1"/>
  <c r="M47" i="1"/>
  <c r="S47" i="1"/>
  <c r="K47" i="1"/>
  <c r="S26" i="1"/>
  <c r="M26" i="1"/>
  <c r="K26" i="1"/>
  <c r="K44" i="1"/>
  <c r="S44" i="1"/>
  <c r="M44" i="1"/>
  <c r="S34" i="1"/>
  <c r="M34" i="1"/>
  <c r="K34" i="1"/>
  <c r="S37" i="1"/>
  <c r="M37" i="1"/>
  <c r="K37" i="1"/>
  <c r="L15" i="1"/>
  <c r="H10" i="1"/>
  <c r="H12" i="1" s="1"/>
  <c r="K24" i="1"/>
  <c r="M24" i="1"/>
  <c r="S24" i="1"/>
  <c r="K48" i="1"/>
  <c r="S48" i="1"/>
  <c r="M48" i="1"/>
  <c r="E52" i="4"/>
  <c r="M43" i="1"/>
  <c r="S43" i="1"/>
  <c r="K43" i="1"/>
  <c r="S31" i="1"/>
  <c r="K31" i="1"/>
  <c r="M31" i="1"/>
  <c r="S46" i="1"/>
  <c r="M46" i="1"/>
  <c r="K46" i="1"/>
  <c r="K27" i="1"/>
  <c r="M27" i="1"/>
  <c r="S27" i="1"/>
  <c r="M42" i="2" l="1"/>
  <c r="S42" i="2"/>
  <c r="K42" i="2"/>
  <c r="M51" i="2"/>
  <c r="S51" i="2"/>
  <c r="K51" i="2"/>
  <c r="M22" i="3"/>
  <c r="S22" i="3"/>
  <c r="J53" i="3"/>
  <c r="K22" i="3"/>
  <c r="M22" i="2"/>
  <c r="K22" i="2"/>
  <c r="S22" i="2"/>
  <c r="J53" i="2"/>
  <c r="S50" i="2"/>
  <c r="K50" i="2"/>
  <c r="M50" i="2"/>
  <c r="S38" i="2"/>
  <c r="M38" i="2"/>
  <c r="K38" i="2"/>
  <c r="S27" i="2"/>
  <c r="M27" i="2"/>
  <c r="K27" i="2"/>
  <c r="M32" i="2"/>
  <c r="S32" i="2"/>
  <c r="K32" i="2"/>
  <c r="K46" i="2"/>
  <c r="M46" i="2"/>
  <c r="S46" i="2"/>
  <c r="H14" i="1"/>
  <c r="H15" i="1" s="1"/>
  <c r="H13" i="1"/>
  <c r="M26" i="3"/>
  <c r="K26" i="3"/>
  <c r="S26" i="3"/>
  <c r="S29" i="2"/>
  <c r="M29" i="2"/>
  <c r="K29" i="2"/>
  <c r="K43" i="2"/>
  <c r="M43" i="2"/>
  <c r="S43" i="2"/>
  <c r="K31" i="2"/>
  <c r="S31" i="2"/>
  <c r="M31" i="2"/>
  <c r="K35" i="2"/>
  <c r="S35" i="2"/>
  <c r="M35" i="2"/>
  <c r="M52" i="1"/>
  <c r="M44" i="2"/>
  <c r="K44" i="2"/>
  <c r="S44" i="2"/>
  <c r="S41" i="2"/>
  <c r="K41" i="2"/>
  <c r="M41" i="2"/>
  <c r="S37" i="2"/>
  <c r="M37" i="2"/>
  <c r="K37" i="2"/>
  <c r="K39" i="2"/>
  <c r="S39" i="2"/>
  <c r="M39" i="2"/>
  <c r="K34" i="2"/>
  <c r="M34" i="2"/>
  <c r="S34" i="2"/>
  <c r="S48" i="2"/>
  <c r="M48" i="2"/>
  <c r="K48" i="2"/>
  <c r="S36" i="2"/>
  <c r="K36" i="2"/>
  <c r="M36" i="2"/>
  <c r="S24" i="2"/>
  <c r="K24" i="2"/>
  <c r="M24" i="2"/>
  <c r="H13" i="2"/>
  <c r="H14" i="2"/>
  <c r="H15" i="2" s="1"/>
  <c r="K25" i="2"/>
  <c r="M25" i="2"/>
  <c r="S25" i="2"/>
  <c r="M47" i="2"/>
  <c r="K47" i="2"/>
  <c r="S47" i="2"/>
  <c r="M25" i="3"/>
  <c r="K25" i="3"/>
  <c r="S25" i="3"/>
  <c r="S40" i="2"/>
  <c r="M40" i="2"/>
  <c r="K40" i="2"/>
  <c r="S30" i="2"/>
  <c r="K30" i="2"/>
  <c r="M30" i="2"/>
  <c r="S45" i="2"/>
  <c r="K45" i="2"/>
  <c r="M45" i="2"/>
  <c r="M52" i="2"/>
  <c r="K52" i="2"/>
  <c r="S52" i="2"/>
  <c r="S23" i="3"/>
  <c r="M23" i="3"/>
  <c r="K23" i="3"/>
  <c r="M26" i="2"/>
  <c r="K26" i="2"/>
  <c r="S26" i="2"/>
  <c r="S28" i="2"/>
  <c r="M28" i="2"/>
  <c r="K28" i="2"/>
  <c r="S24" i="3"/>
  <c r="M24" i="3"/>
  <c r="K24" i="3"/>
  <c r="S49" i="2"/>
  <c r="M49" i="2"/>
  <c r="K49" i="2"/>
  <c r="S33" i="2"/>
  <c r="M33" i="2"/>
  <c r="K33" i="2"/>
  <c r="S23" i="2"/>
  <c r="K23" i="2"/>
  <c r="M23" i="2"/>
  <c r="K52" i="1"/>
  <c r="M53" i="3" l="1"/>
  <c r="K53" i="2"/>
  <c r="M53" i="2"/>
  <c r="K53" i="3"/>
</calcChain>
</file>

<file path=xl/sharedStrings.xml><?xml version="1.0" encoding="utf-8"?>
<sst xmlns="http://schemas.openxmlformats.org/spreadsheetml/2006/main" count="525" uniqueCount="238">
  <si>
    <t>KXHMONTH-26JUN  —  “Will June 2026 be the hottest June ever?”</t>
  </si>
  <si>
    <t>SETTLED — NOAA printed 1.09   ·   record 1.18, needs a 1.19 print   ·   ERA5 bar +0.65962/day   ·   fit 1990–2025, n=36   ·   settles Jul 9 2026 10:00 ET</t>
  </si>
  <si>
    <t>CONTRACT &amp; TRANSLATION</t>
  </si>
  <si>
    <t>CURRENT STATE</t>
  </si>
  <si>
    <t>ENSEMBLE</t>
  </si>
  <si>
    <t>MARKET &amp; P&amp;L</t>
  </si>
  <si>
    <t>Record (printed)</t>
  </si>
  <si>
    <t>k  (days observed)</t>
  </si>
  <si>
    <t>Run</t>
  </si>
  <si>
    <t>—</t>
  </si>
  <si>
    <t>Side held</t>
  </si>
  <si>
    <t>Latent threshold</t>
  </si>
  <si>
    <t>MTD mean</t>
  </si>
  <si>
    <t>Members</t>
  </si>
  <si>
    <t>Contracts</t>
  </si>
  <si>
    <t>a  (intercept)</t>
  </si>
  <si>
    <t>Needed /day over rest</t>
  </si>
  <si>
    <t>Coldest member</t>
  </si>
  <si>
    <t>Avg entry ¢</t>
  </si>
  <si>
    <t>b  (slope)</t>
  </si>
  <si>
    <t>Assumed rate, remaining days</t>
  </si>
  <si>
    <t>Average member</t>
  </si>
  <si>
    <t>Cost $</t>
  </si>
  <si>
    <t>σ translation</t>
  </si>
  <si>
    <t>Projected full-month ERA5</t>
  </si>
  <si>
    <t>Hottest member</t>
  </si>
  <si>
    <t>Fees paid $</t>
  </si>
  <si>
    <t>ERA5 bar (full month)</t>
  </si>
  <si>
    <t>Projected NOAA μ</t>
  </si>
  <si>
    <t>Members breaching record</t>
  </si>
  <si>
    <t>Settled</t>
  </si>
  <si>
    <t>σ_f  at k</t>
  </si>
  <si>
    <t>P(YES) — sheet</t>
  </si>
  <si>
    <t>Ensemble P(YES)</t>
  </si>
  <si>
    <t>Payout $</t>
  </si>
  <si>
    <t>σ total</t>
  </si>
  <si>
    <t>P(YES) — pipeline</t>
  </si>
  <si>
    <t>dev3 (latest)</t>
  </si>
  <si>
    <t>Realised P&amp;L $</t>
  </si>
  <si>
    <t>Fit check</t>
  </si>
  <si>
    <t>P(YES) used</t>
  </si>
  <si>
    <t>Spike signal</t>
  </si>
  <si>
    <t>ROI %</t>
  </si>
  <si>
    <t>GISTEMP record</t>
  </si>
  <si>
    <t>Fair NO ¢</t>
  </si>
  <si>
    <t>Bias — 2026 mean residual</t>
  </si>
  <si>
    <t>Risk cap $ / market</t>
  </si>
  <si>
    <t>GISTEMP threshold</t>
  </si>
  <si>
    <t>Edge on NO ¢</t>
  </si>
  <si>
    <t>Apply bias to μ?</t>
  </si>
  <si>
    <t>N</t>
  </si>
  <si>
    <t>Book depth at touch $</t>
  </si>
  <si>
    <t>ONI (CPC)</t>
  </si>
  <si>
    <t>Verdict</t>
  </si>
  <si>
    <t>μ with bias</t>
  </si>
  <si>
    <t>Exposure vs cap</t>
  </si>
  <si>
    <t>Date</t>
  </si>
  <si>
    <t>Actual °C</t>
  </si>
  <si>
    <t>Expectation</t>
  </si>
  <si>
    <t>Dev</t>
  </si>
  <si>
    <t>Dev3</t>
  </si>
  <si>
    <t>2024</t>
  </si>
  <si>
    <t>2023</t>
  </si>
  <si>
    <t>Needed /day</t>
  </si>
  <si>
    <t>P(YES)</t>
  </si>
  <si>
    <t>Mkt YES ¢</t>
  </si>
  <si>
    <t>Edge ¢</t>
  </si>
  <si>
    <t>Volume</t>
  </si>
  <si>
    <t>Open int</t>
  </si>
  <si>
    <t>Signal</t>
  </si>
  <si>
    <t>Note</t>
  </si>
  <si>
    <t>Pace</t>
  </si>
  <si>
    <t>Model ¢</t>
  </si>
  <si>
    <t>May 28</t>
  </si>
  <si>
    <t>May 29</t>
  </si>
  <si>
    <t>May 30</t>
  </si>
  <si>
    <t>May 31</t>
  </si>
  <si>
    <t>Jun 01</t>
  </si>
  <si>
    <t>Jun 02</t>
  </si>
  <si>
    <t>Jun 03</t>
  </si>
  <si>
    <t>Jun 04</t>
  </si>
  <si>
    <t>Jun 05</t>
  </si>
  <si>
    <t>Jun 06</t>
  </si>
  <si>
    <t>Jun 07</t>
  </si>
  <si>
    <t>Jun 08</t>
  </si>
  <si>
    <t>Jun 09</t>
  </si>
  <si>
    <t>Jun 10</t>
  </si>
  <si>
    <t>Jun 11</t>
  </si>
  <si>
    <t>Jun 12</t>
  </si>
  <si>
    <t>Jun 13</t>
  </si>
  <si>
    <t>Jun 14</t>
  </si>
  <si>
    <t>Jun 15</t>
  </si>
  <si>
    <t>Jun 16</t>
  </si>
  <si>
    <t>Jun 17</t>
  </si>
  <si>
    <t>Jun 18</t>
  </si>
  <si>
    <t>Jun 19</t>
  </si>
  <si>
    <t>Jun 20</t>
  </si>
  <si>
    <t>Jun 21</t>
  </si>
  <si>
    <t>Jun 22</t>
  </si>
  <si>
    <t>Jun 23</t>
  </si>
  <si>
    <t>Jun 24</t>
  </si>
  <si>
    <t>Jun 25</t>
  </si>
  <si>
    <t>Jun 26</t>
  </si>
  <si>
    <t>Jun 27</t>
  </si>
  <si>
    <t>Jun 28</t>
  </si>
  <si>
    <t>Jun 29</t>
  </si>
  <si>
    <t>Jun 30</t>
  </si>
  <si>
    <t>MEAN</t>
  </si>
  <si>
    <t>CALIBRATION — June 1990–2025</t>
  </si>
  <si>
    <t>σ_f BY k</t>
  </si>
  <si>
    <t>TRANSLATION BIAS — 2026 prints</t>
  </si>
  <si>
    <t>Year</t>
  </si>
  <si>
    <t>ERA5 mean</t>
  </si>
  <si>
    <t>NOAA printed</t>
  </si>
  <si>
    <t>k</t>
  </si>
  <si>
    <t>σ_f</t>
  </si>
  <si>
    <t>Month</t>
  </si>
  <si>
    <t>ERA5</t>
  </si>
  <si>
    <t>NOAA</t>
  </si>
  <si>
    <t>Fitted</t>
  </si>
  <si>
    <t>Residual</t>
  </si>
  <si>
    <t>Jan</t>
  </si>
  <si>
    <t>Feb</t>
  </si>
  <si>
    <t>Mar</t>
  </si>
  <si>
    <t>Apr</t>
  </si>
  <si>
    <t>May</t>
  </si>
  <si>
    <t>Jun</t>
  </si>
  <si>
    <t>KXHMONTH-26JUL  —  “Will July 2026 be the hottest July ever?”</t>
  </si>
  <si>
    <t>LIVE   ·   record 1.18, needs a 1.19 print   ·   ERA5 bar +0.69328/day   ·   fit 1990–2025, n=36   ·   settles Aug 8 2026 10:00 ET</t>
  </si>
  <si>
    <t>2026-07-31</t>
  </si>
  <si>
    <t>0/51</t>
  </si>
  <si>
    <t>Needed</t>
  </si>
  <si>
    <t>Fair NO</t>
  </si>
  <si>
    <t>Mkt YES</t>
  </si>
  <si>
    <t>Edge</t>
  </si>
  <si>
    <t>Jul 01</t>
  </si>
  <si>
    <t>Jul 02</t>
  </si>
  <si>
    <t>Jul 03</t>
  </si>
  <si>
    <t>Jul 04</t>
  </si>
  <si>
    <t>Jul 05</t>
  </si>
  <si>
    <t>Jul 06</t>
  </si>
  <si>
    <t>Jul 07</t>
  </si>
  <si>
    <t>Jul 08</t>
  </si>
  <si>
    <t>Jul 09</t>
  </si>
  <si>
    <t>Jul 10</t>
  </si>
  <si>
    <t>Jul 11</t>
  </si>
  <si>
    <t>Jul 12</t>
  </si>
  <si>
    <t>Jul 13</t>
  </si>
  <si>
    <t>Jul 14</t>
  </si>
  <si>
    <t>Jul 15</t>
  </si>
  <si>
    <t>Jul 16</t>
  </si>
  <si>
    <t>Jul 17</t>
  </si>
  <si>
    <t>Jul 18</t>
  </si>
  <si>
    <t>Jul 19</t>
  </si>
  <si>
    <t>Jul 20</t>
  </si>
  <si>
    <t>Jul 21</t>
  </si>
  <si>
    <t>Jul 22</t>
  </si>
  <si>
    <t>Jul 23</t>
  </si>
  <si>
    <t>Jul 24</t>
  </si>
  <si>
    <t>Jul 25</t>
  </si>
  <si>
    <t>Jul 26</t>
  </si>
  <si>
    <t>Fair N+I49O</t>
  </si>
  <si>
    <t>Jul 27</t>
  </si>
  <si>
    <t>Jul 28</t>
  </si>
  <si>
    <t>Jul 29</t>
  </si>
  <si>
    <t>Jul 30</t>
  </si>
  <si>
    <t>Jul 31</t>
  </si>
  <si>
    <t>CALIBRATION — July 1990–2025</t>
  </si>
  <si>
    <t>KXHMONTH-26AUG  —  “Will August 2026 be the hottest August ever?”</t>
  </si>
  <si>
    <t xml:space="preserve">record 1.25, needs a 1.26 print   ·   ERA5 bar +0.69216/day   ·   fit 1990–2025, n=36 </t>
  </si>
  <si>
    <t>2026-08-07</t>
  </si>
  <si>
    <t>49/51</t>
  </si>
  <si>
    <t>Aug 01</t>
  </si>
  <si>
    <t>Aug 02</t>
  </si>
  <si>
    <t>Aug 03</t>
  </si>
  <si>
    <t>Aug 04</t>
  </si>
  <si>
    <t>Aug 05</t>
  </si>
  <si>
    <t>Aug 06</t>
  </si>
  <si>
    <t>Aug 07</t>
  </si>
  <si>
    <t>Aug 08</t>
  </si>
  <si>
    <t>Aug 09</t>
  </si>
  <si>
    <t>Aug 10</t>
  </si>
  <si>
    <t>Aug 11</t>
  </si>
  <si>
    <t>Aug 12</t>
  </si>
  <si>
    <t>Aug 13</t>
  </si>
  <si>
    <t>Aug 14</t>
  </si>
  <si>
    <t>Aug 15</t>
  </si>
  <si>
    <t>Aug 16</t>
  </si>
  <si>
    <t>Aug 17</t>
  </si>
  <si>
    <t>Aug 18</t>
  </si>
  <si>
    <t>Aug 19</t>
  </si>
  <si>
    <t>Aug 20</t>
  </si>
  <si>
    <t>Aug 21</t>
  </si>
  <si>
    <t>Aug 22</t>
  </si>
  <si>
    <t>Aug 23</t>
  </si>
  <si>
    <t>Aug 24</t>
  </si>
  <si>
    <t>Aug 25</t>
  </si>
  <si>
    <t>Aug 26</t>
  </si>
  <si>
    <t>Aug 27</t>
  </si>
  <si>
    <t>Aug 28</t>
  </si>
  <si>
    <t>Aug 29</t>
  </si>
  <si>
    <t>Aug 30</t>
  </si>
  <si>
    <t>Aug 31</t>
  </si>
  <si>
    <t>CALIBRATION — August 1990–2025</t>
  </si>
  <si>
    <t>KXHMONTH-26SEP  —  “Will September 2026 be the hottest September ever?”</t>
  </si>
  <si>
    <t>record 1.41, needs a 1.42 print   ·   ERA5 bar +0.92671/day   ·   fit 1990–2025, n=36   ·   settles Oct 8 2026 10:00 ET</t>
  </si>
  <si>
    <t>Sep 01</t>
  </si>
  <si>
    <t>Sep 02</t>
  </si>
  <si>
    <t>Sep 03</t>
  </si>
  <si>
    <t>Sep 04</t>
  </si>
  <si>
    <t>Sep 05</t>
  </si>
  <si>
    <t>Sep 06</t>
  </si>
  <si>
    <t>Sep 07</t>
  </si>
  <si>
    <t>Sep 08</t>
  </si>
  <si>
    <t>Sep 09</t>
  </si>
  <si>
    <t>Sep 10</t>
  </si>
  <si>
    <t>Sep 11</t>
  </si>
  <si>
    <t>Sep 12</t>
  </si>
  <si>
    <t>Sep 13</t>
  </si>
  <si>
    <t>Sep 14</t>
  </si>
  <si>
    <t>Sep 15</t>
  </si>
  <si>
    <t>Sep 16</t>
  </si>
  <si>
    <t>Sep 17</t>
  </si>
  <si>
    <t>Sep 18</t>
  </si>
  <si>
    <t>Sep 19</t>
  </si>
  <si>
    <t>Sep 20</t>
  </si>
  <si>
    <t>Sep 21</t>
  </si>
  <si>
    <t>Sep 22</t>
  </si>
  <si>
    <t>Sep 23</t>
  </si>
  <si>
    <t>Sep 24</t>
  </si>
  <si>
    <t>Sep 25</t>
  </si>
  <si>
    <t>Sep 26</t>
  </si>
  <si>
    <t>Sep 27</t>
  </si>
  <si>
    <t>Sep 28</t>
  </si>
  <si>
    <t>Sep 29</t>
  </si>
  <si>
    <t>Sep 30</t>
  </si>
  <si>
    <t>CALIBRATION — September 1990–2025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</si>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</sst>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"/>
    <numFmt numFmtId="165" formatCode="\+0.000;\-0.000;0.000"/>
    <numFmt numFmtId="166" formatCode="0.0000"/>
    <numFmt numFmtId="167" formatCode="0.0"/>
    <numFmt numFmtId="168" formatCode="\$#,##0.00"/>
    <numFmt numFmtId="169" formatCode="0.00000"/>
    <numFmt numFmtId="170" formatCode="0.0%"/>
    <numFmt numFmtId="171" formatCode="\+0.0000;\-0.0000"/>
    <numFmt numFmtId="172" formatCode="\+0.0000;\-0.0000;0.0000"/>
  </numFmts>
  <fonts count="33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1F3864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sz val="9"/>
      <color rgb="FF0000FF"/>
      <name val="Arial"/>
      <family val="2"/>
    </font>
    <font>
      <i/>
      <sz val="8"/>
      <color rgb="FFC00000"/>
      <name val="Arial"/>
      <family val="2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9"/>
      <color theme="2"/>
      <name val="Arial"/>
      <family val="2"/>
    </font>
    <font>
      <b/>
      <sz val="9"/>
      <color theme="0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sz val="9"/>
      <color rgb="FF0000FF"/>
      <name val="Arial"/>
      <family val="2"/>
    </font>
    <font>
      <i/>
      <sz val="8"/>
      <color rgb="FFC00000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sz val="9"/>
      <color rgb="FF0000FF"/>
      <name val="Arial"/>
      <family val="2"/>
    </font>
    <font>
      <i/>
      <sz val="8"/>
      <color rgb="FFC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F0CE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3" tint="-0.249977111117893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theme="3" tint="-0.249977111117893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2" fillId="0" borderId="0"/>
    <xf numFmtId="9" fontId="12" fillId="0" borderId="0"/>
  </cellStyleXfs>
  <cellXfs count="184">
    <xf numFmtId="0" fontId="0" fillId="0" borderId="0" xfId="0"/>
    <xf numFmtId="2" fontId="5" fillId="5" borderId="1" xfId="0" applyNumberFormat="1" applyFont="1" applyFill="1" applyBorder="1" applyAlignment="1">
      <alignment horizontal="center"/>
    </xf>
    <xf numFmtId="1" fontId="5" fillId="5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/>
    </xf>
    <xf numFmtId="165" fontId="5" fillId="5" borderId="1" xfId="0" applyNumberFormat="1" applyFont="1" applyFill="1" applyBorder="1" applyAlignment="1">
      <alignment horizontal="center"/>
    </xf>
    <xf numFmtId="3" fontId="6" fillId="6" borderId="1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/>
    </xf>
    <xf numFmtId="167" fontId="6" fillId="6" borderId="1" xfId="0" applyNumberFormat="1" applyFont="1" applyFill="1" applyBorder="1" applyAlignment="1">
      <alignment horizontal="center"/>
    </xf>
    <xf numFmtId="165" fontId="5" fillId="7" borderId="1" xfId="0" applyNumberFormat="1" applyFont="1" applyFill="1" applyBorder="1" applyAlignment="1">
      <alignment horizontal="center"/>
    </xf>
    <xf numFmtId="168" fontId="5" fillId="5" borderId="1" xfId="0" applyNumberFormat="1" applyFont="1" applyFill="1" applyBorder="1" applyAlignment="1">
      <alignment horizontal="center"/>
    </xf>
    <xf numFmtId="168" fontId="6" fillId="6" borderId="1" xfId="0" applyNumberFormat="1" applyFont="1" applyFill="1" applyBorder="1" applyAlignment="1">
      <alignment horizontal="center"/>
    </xf>
    <xf numFmtId="169" fontId="5" fillId="5" borderId="1" xfId="0" applyNumberFormat="1" applyFont="1" applyFill="1" applyBorder="1" applyAlignment="1">
      <alignment horizontal="center"/>
    </xf>
    <xf numFmtId="170" fontId="5" fillId="5" borderId="1" xfId="0" applyNumberFormat="1" applyFont="1" applyFill="1" applyBorder="1" applyAlignment="1">
      <alignment horizontal="center"/>
    </xf>
    <xf numFmtId="170" fontId="6" fillId="6" borderId="1" xfId="0" applyNumberFormat="1" applyFont="1" applyFill="1" applyBorder="1" applyAlignment="1">
      <alignment horizontal="center"/>
    </xf>
    <xf numFmtId="167" fontId="5" fillId="5" borderId="1" xfId="0" applyNumberFormat="1" applyFont="1" applyFill="1" applyBorder="1" applyAlignment="1">
      <alignment horizontal="center"/>
    </xf>
    <xf numFmtId="171" fontId="5" fillId="5" borderId="1" xfId="0" applyNumberFormat="1" applyFont="1" applyFill="1" applyBorder="1" applyAlignment="1">
      <alignment horizontal="center"/>
    </xf>
    <xf numFmtId="168" fontId="5" fillId="7" borderId="1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left"/>
    </xf>
    <xf numFmtId="165" fontId="9" fillId="4" borderId="1" xfId="0" applyNumberFormat="1" applyFont="1" applyFill="1" applyBorder="1"/>
    <xf numFmtId="165" fontId="4" fillId="4" borderId="1" xfId="0" applyNumberFormat="1" applyFont="1" applyFill="1" applyBorder="1"/>
    <xf numFmtId="170" fontId="4" fillId="4" borderId="1" xfId="0" applyNumberFormat="1" applyFont="1" applyFill="1" applyBorder="1"/>
    <xf numFmtId="167" fontId="4" fillId="4" borderId="1" xfId="0" applyNumberFormat="1" applyFont="1" applyFill="1" applyBorder="1"/>
    <xf numFmtId="167" fontId="9" fillId="4" borderId="1" xfId="0" applyNumberFormat="1" applyFont="1" applyFill="1" applyBorder="1"/>
    <xf numFmtId="3" fontId="9" fillId="4" borderId="1" xfId="0" applyNumberFormat="1" applyFont="1" applyFill="1" applyBorder="1"/>
    <xf numFmtId="0" fontId="10" fillId="4" borderId="1" xfId="0" applyFont="1" applyFill="1" applyBorder="1"/>
    <xf numFmtId="0" fontId="4" fillId="4" borderId="1" xfId="0" applyFont="1" applyFill="1" applyBorder="1"/>
    <xf numFmtId="0" fontId="4" fillId="0" borderId="1" xfId="0" applyFont="1" applyBorder="1" applyAlignment="1">
      <alignment horizontal="left"/>
    </xf>
    <xf numFmtId="165" fontId="9" fillId="6" borderId="1" xfId="0" applyNumberFormat="1" applyFont="1" applyFill="1" applyBorder="1"/>
    <xf numFmtId="165" fontId="4" fillId="0" borderId="1" xfId="0" applyNumberFormat="1" applyFont="1" applyBorder="1"/>
    <xf numFmtId="170" fontId="4" fillId="0" borderId="1" xfId="0" applyNumberFormat="1" applyFont="1" applyBorder="1"/>
    <xf numFmtId="167" fontId="4" fillId="0" borderId="1" xfId="0" applyNumberFormat="1" applyFont="1" applyBorder="1"/>
    <xf numFmtId="167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1" xfId="0" applyFont="1" applyBorder="1"/>
    <xf numFmtId="0" fontId="4" fillId="0" borderId="1" xfId="0" applyFont="1" applyBorder="1"/>
    <xf numFmtId="0" fontId="8" fillId="2" borderId="0" xfId="0" applyFont="1" applyFill="1" applyAlignment="1">
      <alignment horizontal="center" vertical="center"/>
    </xf>
    <xf numFmtId="0" fontId="8" fillId="2" borderId="0" xfId="0" applyFont="1" applyFill="1"/>
    <xf numFmtId="1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4" fillId="0" borderId="0" xfId="0" applyFon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71" fontId="0" fillId="0" borderId="0" xfId="0" applyNumberFormat="1"/>
    <xf numFmtId="1" fontId="11" fillId="0" borderId="0" xfId="0" applyNumberFormat="1" applyFont="1"/>
    <xf numFmtId="166" fontId="11" fillId="0" borderId="0" xfId="0" applyNumberFormat="1" applyFont="1"/>
    <xf numFmtId="0" fontId="7" fillId="0" borderId="0" xfId="0" applyFont="1"/>
    <xf numFmtId="2" fontId="0" fillId="0" borderId="0" xfId="1" applyNumberFormat="1" applyFont="1" applyAlignment="1">
      <alignment horizontal="left"/>
    </xf>
    <xf numFmtId="0" fontId="0" fillId="8" borderId="0" xfId="0" applyFill="1"/>
    <xf numFmtId="165" fontId="8" fillId="0" borderId="1" xfId="0" applyNumberFormat="1" applyFont="1" applyBorder="1"/>
    <xf numFmtId="165" fontId="0" fillId="9" borderId="0" xfId="0" applyNumberFormat="1" applyFill="1"/>
    <xf numFmtId="2" fontId="0" fillId="9" borderId="0" xfId="0" applyNumberFormat="1" applyFill="1"/>
    <xf numFmtId="0" fontId="13" fillId="10" borderId="2" xfId="0" applyFont="1" applyFill="1" applyBorder="1" applyAlignment="1">
      <alignment horizontal="left"/>
    </xf>
    <xf numFmtId="9" fontId="0" fillId="9" borderId="0" xfId="2" applyFont="1" applyFill="1"/>
    <xf numFmtId="165" fontId="4" fillId="0" borderId="4" xfId="0" applyNumberFormat="1" applyFont="1" applyBorder="1"/>
    <xf numFmtId="165" fontId="4" fillId="0" borderId="3" xfId="0" applyNumberFormat="1" applyFont="1" applyBorder="1"/>
    <xf numFmtId="165" fontId="9" fillId="4" borderId="4" xfId="0" applyNumberFormat="1" applyFont="1" applyFill="1" applyBorder="1"/>
    <xf numFmtId="0" fontId="8" fillId="2" borderId="5" xfId="0" applyFont="1" applyFill="1" applyBorder="1" applyAlignment="1">
      <alignment horizontal="center" wrapText="1"/>
    </xf>
    <xf numFmtId="0" fontId="8" fillId="2" borderId="6" xfId="0" applyFont="1" applyFill="1" applyBorder="1" applyAlignment="1">
      <alignment horizontal="center" wrapText="1"/>
    </xf>
    <xf numFmtId="0" fontId="14" fillId="11" borderId="7" xfId="0" applyFont="1" applyFill="1" applyBorder="1" applyAlignment="1">
      <alignment horizontal="center" wrapText="1"/>
    </xf>
    <xf numFmtId="0" fontId="8" fillId="2" borderId="8" xfId="0" applyFont="1" applyFill="1" applyBorder="1" applyAlignment="1">
      <alignment horizontal="center" wrapText="1"/>
    </xf>
    <xf numFmtId="2" fontId="18" fillId="5" borderId="10" xfId="0" applyNumberFormat="1" applyFont="1" applyFill="1" applyBorder="1" applyAlignment="1">
      <alignment horizont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0" fontId="19" fillId="6" borderId="10" xfId="0" applyFont="1" applyFill="1" applyBorder="1" applyAlignment="1">
      <alignment horizontal="center"/>
    </xf>
    <xf numFmtId="164" fontId="18" fillId="5" borderId="10" xfId="0" applyNumberFormat="1" applyFont="1" applyFill="1" applyBorder="1" applyAlignment="1">
      <alignment horizontal="center"/>
    </xf>
    <xf numFmtId="165" fontId="18" fillId="5" borderId="10" xfId="0" applyNumberFormat="1" applyFont="1" applyFill="1" applyBorder="1" applyAlignment="1">
      <alignment horizontal="center"/>
    </xf>
    <xf numFmtId="3" fontId="19" fillId="6" borderId="10" xfId="0" applyNumberFormat="1" applyFont="1" applyFill="1" applyBorder="1" applyAlignment="1">
      <alignment horizontal="center"/>
    </xf>
    <xf numFmtId="166" fontId="18" fillId="5" borderId="10" xfId="0" applyNumberFormat="1" applyFont="1" applyFill="1" applyBorder="1" applyAlignment="1">
      <alignment horizontal="center"/>
    </xf>
    <xf numFmtId="167" fontId="19" fillId="6" borderId="10" xfId="0" applyNumberFormat="1" applyFont="1" applyFill="1" applyBorder="1" applyAlignment="1">
      <alignment horizontal="center"/>
    </xf>
    <xf numFmtId="165" fontId="18" fillId="7" borderId="10" xfId="0" applyNumberFormat="1" applyFont="1" applyFill="1" applyBorder="1" applyAlignment="1">
      <alignment horizontal="center"/>
    </xf>
    <xf numFmtId="168" fontId="18" fillId="5" borderId="10" xfId="0" applyNumberFormat="1" applyFont="1" applyFill="1" applyBorder="1" applyAlignment="1">
      <alignment horizontal="center"/>
    </xf>
    <xf numFmtId="168" fontId="19" fillId="6" borderId="10" xfId="0" applyNumberFormat="1" applyFont="1" applyFill="1" applyBorder="1" applyAlignment="1">
      <alignment horizontal="center"/>
    </xf>
    <xf numFmtId="169" fontId="18" fillId="5" borderId="10" xfId="0" applyNumberFormat="1" applyFont="1" applyFill="1" applyBorder="1" applyAlignment="1">
      <alignment horizontal="center"/>
    </xf>
    <xf numFmtId="170" fontId="18" fillId="5" borderId="10" xfId="0" applyNumberFormat="1" applyFont="1" applyFill="1" applyBorder="1" applyAlignment="1">
      <alignment horizontal="center"/>
    </xf>
    <xf numFmtId="170" fontId="19" fillId="6" borderId="10" xfId="0" applyNumberFormat="1" applyFont="1" applyFill="1" applyBorder="1" applyAlignment="1">
      <alignment horizontal="center"/>
    </xf>
    <xf numFmtId="167" fontId="18" fillId="5" borderId="10" xfId="0" applyNumberFormat="1" applyFont="1" applyFill="1" applyBorder="1" applyAlignment="1">
      <alignment horizontal="center"/>
    </xf>
    <xf numFmtId="171" fontId="18" fillId="5" borderId="10" xfId="0" applyNumberFormat="1" applyFont="1" applyFill="1" applyBorder="1" applyAlignment="1">
      <alignment horizontal="center"/>
    </xf>
    <xf numFmtId="168" fontId="18" fillId="7" borderId="10" xfId="0" applyNumberFormat="1" applyFont="1" applyFill="1" applyBorder="1" applyAlignment="1">
      <alignment horizontal="center"/>
    </xf>
    <xf numFmtId="0" fontId="21" fillId="2" borderId="10" xfId="0" applyFont="1" applyFill="1" applyBorder="1" applyAlignment="1">
      <alignment horizontal="center" wrapText="1"/>
    </xf>
    <xf numFmtId="0" fontId="17" fillId="4" borderId="10" xfId="0" applyFont="1" applyFill="1" applyBorder="1" applyAlignment="1">
      <alignment horizontal="left"/>
    </xf>
    <xf numFmtId="165" fontId="22" fillId="4" borderId="10" xfId="0" applyNumberFormat="1" applyFont="1" applyFill="1" applyBorder="1"/>
    <xf numFmtId="165" fontId="17" fillId="4" borderId="10" xfId="0" applyNumberFormat="1" applyFont="1" applyFill="1" applyBorder="1"/>
    <xf numFmtId="170" fontId="17" fillId="4" borderId="10" xfId="0" applyNumberFormat="1" applyFont="1" applyFill="1" applyBorder="1"/>
    <xf numFmtId="167" fontId="17" fillId="4" borderId="10" xfId="0" applyNumberFormat="1" applyFont="1" applyFill="1" applyBorder="1"/>
    <xf numFmtId="167" fontId="22" fillId="4" borderId="10" xfId="0" applyNumberFormat="1" applyFont="1" applyFill="1" applyBorder="1"/>
    <xf numFmtId="3" fontId="22" fillId="4" borderId="10" xfId="0" applyNumberFormat="1" applyFont="1" applyFill="1" applyBorder="1"/>
    <xf numFmtId="0" fontId="23" fillId="4" borderId="10" xfId="0" applyFont="1" applyFill="1" applyBorder="1"/>
    <xf numFmtId="0" fontId="17" fillId="4" borderId="10" xfId="0" applyFont="1" applyFill="1" applyBorder="1"/>
    <xf numFmtId="0" fontId="17" fillId="0" borderId="10" xfId="0" applyFont="1" applyBorder="1" applyAlignment="1">
      <alignment horizontal="left"/>
    </xf>
    <xf numFmtId="165" fontId="22" fillId="6" borderId="10" xfId="0" applyNumberFormat="1" applyFont="1" applyFill="1" applyBorder="1"/>
    <xf numFmtId="165" fontId="17" fillId="0" borderId="10" xfId="0" applyNumberFormat="1" applyFont="1" applyBorder="1"/>
    <xf numFmtId="170" fontId="17" fillId="0" borderId="10" xfId="0" applyNumberFormat="1" applyFont="1" applyBorder="1"/>
    <xf numFmtId="167" fontId="17" fillId="0" borderId="10" xfId="0" applyNumberFormat="1" applyFont="1" applyBorder="1"/>
    <xf numFmtId="167" fontId="22" fillId="6" borderId="10" xfId="0" applyNumberFormat="1" applyFont="1" applyFill="1" applyBorder="1"/>
    <xf numFmtId="3" fontId="22" fillId="6" borderId="10" xfId="0" applyNumberFormat="1" applyFont="1" applyFill="1" applyBorder="1"/>
    <xf numFmtId="0" fontId="23" fillId="0" borderId="10" xfId="0" applyFont="1" applyBorder="1"/>
    <xf numFmtId="0" fontId="17" fillId="0" borderId="10" xfId="0" applyFont="1" applyBorder="1"/>
    <xf numFmtId="0" fontId="21" fillId="2" borderId="0" xfId="0" applyFont="1" applyFill="1"/>
    <xf numFmtId="1" fontId="0" fillId="0" borderId="0" xfId="0" applyNumberFormat="1"/>
    <xf numFmtId="0" fontId="20" fillId="0" borderId="0" xfId="0" applyFont="1"/>
    <xf numFmtId="2" fontId="27" fillId="5" borderId="11" xfId="0" applyNumberFormat="1" applyFont="1" applyFill="1" applyBorder="1" applyAlignment="1">
      <alignment horizontal="center"/>
    </xf>
    <xf numFmtId="1" fontId="27" fillId="5" borderId="11" xfId="0" applyNumberFormat="1" applyFont="1" applyFill="1" applyBorder="1" applyAlignment="1">
      <alignment horizontal="center"/>
    </xf>
    <xf numFmtId="0" fontId="27" fillId="5" borderId="11" xfId="0" applyFont="1" applyFill="1" applyBorder="1" applyAlignment="1">
      <alignment horizontal="center"/>
    </xf>
    <xf numFmtId="0" fontId="28" fillId="6" borderId="11" xfId="0" applyFont="1" applyFill="1" applyBorder="1" applyAlignment="1">
      <alignment horizontal="center"/>
    </xf>
    <xf numFmtId="164" fontId="27" fillId="5" borderId="11" xfId="0" applyNumberFormat="1" applyFont="1" applyFill="1" applyBorder="1" applyAlignment="1">
      <alignment horizontal="center"/>
    </xf>
    <xf numFmtId="165" fontId="27" fillId="5" borderId="11" xfId="0" applyNumberFormat="1" applyFont="1" applyFill="1" applyBorder="1" applyAlignment="1">
      <alignment horizontal="center"/>
    </xf>
    <xf numFmtId="3" fontId="28" fillId="6" borderId="11" xfId="0" applyNumberFormat="1" applyFont="1" applyFill="1" applyBorder="1" applyAlignment="1">
      <alignment horizontal="center"/>
    </xf>
    <xf numFmtId="166" fontId="27" fillId="5" borderId="11" xfId="0" applyNumberFormat="1" applyFont="1" applyFill="1" applyBorder="1" applyAlignment="1">
      <alignment horizontal="center"/>
    </xf>
    <xf numFmtId="167" fontId="28" fillId="6" borderId="11" xfId="0" applyNumberFormat="1" applyFont="1" applyFill="1" applyBorder="1" applyAlignment="1">
      <alignment horizontal="center"/>
    </xf>
    <xf numFmtId="165" fontId="27" fillId="7" borderId="11" xfId="0" applyNumberFormat="1" applyFont="1" applyFill="1" applyBorder="1" applyAlignment="1">
      <alignment horizontal="center"/>
    </xf>
    <xf numFmtId="168" fontId="27" fillId="5" borderId="11" xfId="0" applyNumberFormat="1" applyFont="1" applyFill="1" applyBorder="1" applyAlignment="1">
      <alignment horizontal="center"/>
    </xf>
    <xf numFmtId="168" fontId="28" fillId="6" borderId="11" xfId="0" applyNumberFormat="1" applyFont="1" applyFill="1" applyBorder="1" applyAlignment="1">
      <alignment horizontal="center"/>
    </xf>
    <xf numFmtId="169" fontId="27" fillId="5" borderId="11" xfId="0" applyNumberFormat="1" applyFont="1" applyFill="1" applyBorder="1" applyAlignment="1">
      <alignment horizontal="center"/>
    </xf>
    <xf numFmtId="170" fontId="27" fillId="5" borderId="11" xfId="0" applyNumberFormat="1" applyFont="1" applyFill="1" applyBorder="1" applyAlignment="1">
      <alignment horizontal="center"/>
    </xf>
    <xf numFmtId="170" fontId="28" fillId="6" borderId="11" xfId="0" applyNumberFormat="1" applyFont="1" applyFill="1" applyBorder="1" applyAlignment="1">
      <alignment horizontal="center"/>
    </xf>
    <xf numFmtId="167" fontId="27" fillId="5" borderId="11" xfId="0" applyNumberFormat="1" applyFont="1" applyFill="1" applyBorder="1" applyAlignment="1">
      <alignment horizontal="center"/>
    </xf>
    <xf numFmtId="171" fontId="27" fillId="5" borderId="11" xfId="0" applyNumberFormat="1" applyFont="1" applyFill="1" applyBorder="1" applyAlignment="1">
      <alignment horizontal="center"/>
    </xf>
    <xf numFmtId="168" fontId="27" fillId="7" borderId="11" xfId="0" applyNumberFormat="1" applyFont="1" applyFill="1" applyBorder="1" applyAlignment="1">
      <alignment horizontal="center"/>
    </xf>
    <xf numFmtId="0" fontId="27" fillId="7" borderId="11" xfId="0" applyFont="1" applyFill="1" applyBorder="1" applyAlignment="1">
      <alignment horizontal="center"/>
    </xf>
    <xf numFmtId="0" fontId="30" fillId="2" borderId="11" xfId="0" applyFont="1" applyFill="1" applyBorder="1" applyAlignment="1">
      <alignment horizontal="center" wrapText="1"/>
    </xf>
    <xf numFmtId="0" fontId="26" fillId="4" borderId="11" xfId="0" applyFont="1" applyFill="1" applyBorder="1" applyAlignment="1">
      <alignment horizontal="left"/>
    </xf>
    <xf numFmtId="165" fontId="31" fillId="4" borderId="11" xfId="0" applyNumberFormat="1" applyFont="1" applyFill="1" applyBorder="1"/>
    <xf numFmtId="165" fontId="26" fillId="4" borderId="11" xfId="0" applyNumberFormat="1" applyFont="1" applyFill="1" applyBorder="1"/>
    <xf numFmtId="170" fontId="26" fillId="4" borderId="11" xfId="0" applyNumberFormat="1" applyFont="1" applyFill="1" applyBorder="1"/>
    <xf numFmtId="167" fontId="26" fillId="4" borderId="11" xfId="0" applyNumberFormat="1" applyFont="1" applyFill="1" applyBorder="1"/>
    <xf numFmtId="167" fontId="31" fillId="4" borderId="11" xfId="0" applyNumberFormat="1" applyFont="1" applyFill="1" applyBorder="1"/>
    <xf numFmtId="3" fontId="31" fillId="4" borderId="11" xfId="0" applyNumberFormat="1" applyFont="1" applyFill="1" applyBorder="1"/>
    <xf numFmtId="0" fontId="32" fillId="4" borderId="11" xfId="0" applyFont="1" applyFill="1" applyBorder="1"/>
    <xf numFmtId="0" fontId="26" fillId="4" borderId="11" xfId="0" applyFont="1" applyFill="1" applyBorder="1"/>
    <xf numFmtId="0" fontId="26" fillId="0" borderId="11" xfId="0" applyFont="1" applyBorder="1" applyAlignment="1">
      <alignment horizontal="left"/>
    </xf>
    <xf numFmtId="165" fontId="31" fillId="6" borderId="11" xfId="0" applyNumberFormat="1" applyFont="1" applyFill="1" applyBorder="1"/>
    <xf numFmtId="165" fontId="26" fillId="0" borderId="11" xfId="0" applyNumberFormat="1" applyFont="1" applyBorder="1"/>
    <xf numFmtId="170" fontId="26" fillId="0" borderId="11" xfId="0" applyNumberFormat="1" applyFont="1" applyBorder="1"/>
    <xf numFmtId="167" fontId="26" fillId="0" borderId="11" xfId="0" applyNumberFormat="1" applyFont="1" applyBorder="1"/>
    <xf numFmtId="167" fontId="31" fillId="6" borderId="11" xfId="0" applyNumberFormat="1" applyFont="1" applyFill="1" applyBorder="1"/>
    <xf numFmtId="3" fontId="31" fillId="6" borderId="11" xfId="0" applyNumberFormat="1" applyFont="1" applyFill="1" applyBorder="1"/>
    <xf numFmtId="0" fontId="32" fillId="0" borderId="11" xfId="0" applyFont="1" applyBorder="1"/>
    <xf numFmtId="0" fontId="26" fillId="0" borderId="11" xfId="0" applyFont="1" applyBorder="1"/>
    <xf numFmtId="0" fontId="29" fillId="3" borderId="11" xfId="0" applyFont="1" applyFill="1" applyBorder="1"/>
    <xf numFmtId="165" fontId="26" fillId="3" borderId="11" xfId="0" applyNumberFormat="1" applyFont="1" applyFill="1" applyBorder="1"/>
    <xf numFmtId="0" fontId="0" fillId="3" borderId="11" xfId="0" applyFill="1" applyBorder="1"/>
    <xf numFmtId="9" fontId="26" fillId="3" borderId="11" xfId="0" applyNumberFormat="1" applyFont="1" applyFill="1" applyBorder="1"/>
    <xf numFmtId="2" fontId="26" fillId="3" borderId="11" xfId="0" applyNumberFormat="1" applyFont="1" applyFill="1" applyBorder="1"/>
    <xf numFmtId="0" fontId="30" fillId="2" borderId="0" xfId="0" applyFont="1" applyFill="1"/>
    <xf numFmtId="0" fontId="29" fillId="0" borderId="0" xfId="0" applyFont="1"/>
    <xf numFmtId="172" fontId="0" fillId="9" borderId="0" xfId="0" applyNumberFormat="1" applyFill="1"/>
    <xf numFmtId="165" fontId="26" fillId="0" borderId="4" xfId="0" applyNumberFormat="1" applyFont="1" applyBorder="1"/>
    <xf numFmtId="165" fontId="26" fillId="0" borderId="3" xfId="0" applyNumberFormat="1" applyFont="1" applyBorder="1"/>
    <xf numFmtId="165" fontId="31" fillId="4" borderId="4" xfId="0" applyNumberFormat="1" applyFont="1" applyFill="1" applyBorder="1"/>
    <xf numFmtId="0" fontId="30" fillId="2" borderId="8" xfId="0" applyFont="1" applyFill="1" applyBorder="1" applyAlignment="1">
      <alignment horizontal="center" wrapText="1"/>
    </xf>
    <xf numFmtId="0" fontId="30" fillId="2" borderId="5" xfId="0" applyFont="1" applyFill="1" applyBorder="1" applyAlignment="1">
      <alignment horizontal="center" wrapText="1"/>
    </xf>
    <xf numFmtId="0" fontId="30" fillId="11" borderId="7" xfId="0" applyFont="1" applyFill="1" applyBorder="1" applyAlignment="1">
      <alignment horizontal="center" wrapText="1"/>
    </xf>
    <xf numFmtId="167" fontId="17" fillId="12" borderId="10" xfId="0" applyNumberFormat="1" applyFont="1" applyFill="1" applyBorder="1"/>
    <xf numFmtId="167" fontId="17" fillId="13" borderId="10" xfId="0" applyNumberFormat="1" applyFont="1" applyFill="1" applyBorder="1"/>
    <xf numFmtId="0" fontId="5" fillId="7" borderId="10" xfId="0" applyFont="1" applyFill="1" applyBorder="1" applyAlignment="1">
      <alignment horizontal="center"/>
    </xf>
    <xf numFmtId="165" fontId="17" fillId="8" borderId="0" xfId="0" applyNumberFormat="1" applyFont="1" applyFill="1"/>
    <xf numFmtId="165" fontId="0" fillId="8" borderId="0" xfId="0" applyNumberFormat="1" applyFill="1"/>
    <xf numFmtId="165" fontId="22" fillId="14" borderId="10" xfId="0" applyNumberFormat="1" applyFont="1" applyFill="1" applyBorder="1"/>
    <xf numFmtId="0" fontId="4" fillId="4" borderId="11" xfId="0" applyFont="1" applyFill="1" applyBorder="1" applyAlignment="1">
      <alignment horizontal="left" indent="1"/>
    </xf>
    <xf numFmtId="0" fontId="0" fillId="0" borderId="9" xfId="0" applyBorder="1"/>
    <xf numFmtId="0" fontId="0" fillId="0" borderId="8" xfId="0" applyBorder="1"/>
    <xf numFmtId="0" fontId="7" fillId="3" borderId="11" xfId="0" applyFont="1" applyFill="1" applyBorder="1" applyAlignment="1">
      <alignment horizontal="left" indent="1"/>
    </xf>
    <xf numFmtId="0" fontId="3" fillId="2" borderId="0" xfId="0" applyFont="1" applyFill="1" applyAlignment="1">
      <alignment horizontal="center" vertical="center"/>
    </xf>
    <xf numFmtId="0" fontId="0" fillId="8" borderId="0" xfId="0" applyFill="1"/>
    <xf numFmtId="0" fontId="8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17" fillId="4" borderId="11" xfId="0" applyFont="1" applyFill="1" applyBorder="1" applyAlignment="1">
      <alignment horizontal="left" indent="1"/>
    </xf>
    <xf numFmtId="0" fontId="20" fillId="3" borderId="11" xfId="0" applyFont="1" applyFill="1" applyBorder="1" applyAlignment="1">
      <alignment horizontal="left" indent="1"/>
    </xf>
    <xf numFmtId="0" fontId="16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0" fillId="0" borderId="0" xfId="0"/>
    <xf numFmtId="0" fontId="26" fillId="4" borderId="11" xfId="0" applyFont="1" applyFill="1" applyBorder="1" applyAlignment="1">
      <alignment horizontal="left" indent="1"/>
    </xf>
    <xf numFmtId="0" fontId="29" fillId="3" borderId="11" xfId="0" applyFont="1" applyFill="1" applyBorder="1" applyAlignment="1">
      <alignment horizontal="left" indent="1"/>
    </xf>
    <xf numFmtId="0" fontId="30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4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8CBAD"/>
        </patternFill>
      </fill>
    </dxf>
    <dxf>
      <font>
        <b/>
      </font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Month-to-date vs record pace — June 2026 (°C vs 1991–2020)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MTD mean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Jun_2026!$A$22:$A$51</c:f>
              <c:strCache>
                <c:ptCount val="30"/>
                <c:pt idx="0">
                  <c:v>Jun 01</c:v>
                </c:pt>
                <c:pt idx="1">
                  <c:v>Jun 02</c:v>
                </c:pt>
                <c:pt idx="2">
                  <c:v>Jun 03</c:v>
                </c:pt>
                <c:pt idx="3">
                  <c:v>Jun 04</c:v>
                </c:pt>
                <c:pt idx="4">
                  <c:v>Jun 05</c:v>
                </c:pt>
                <c:pt idx="5">
                  <c:v>Jun 06</c:v>
                </c:pt>
                <c:pt idx="6">
                  <c:v>Jun 07</c:v>
                </c:pt>
                <c:pt idx="7">
                  <c:v>Jun 08</c:v>
                </c:pt>
                <c:pt idx="8">
                  <c:v>Jun 09</c:v>
                </c:pt>
                <c:pt idx="9">
                  <c:v>Jun 10</c:v>
                </c:pt>
                <c:pt idx="10">
                  <c:v>Jun 11</c:v>
                </c:pt>
                <c:pt idx="11">
                  <c:v>Jun 12</c:v>
                </c:pt>
                <c:pt idx="12">
                  <c:v>Jun 13</c:v>
                </c:pt>
                <c:pt idx="13">
                  <c:v>Jun 14</c:v>
                </c:pt>
                <c:pt idx="14">
                  <c:v>Jun 15</c:v>
                </c:pt>
                <c:pt idx="15">
                  <c:v>Jun 16</c:v>
                </c:pt>
                <c:pt idx="16">
                  <c:v>Jun 17</c:v>
                </c:pt>
                <c:pt idx="17">
                  <c:v>Jun 18</c:v>
                </c:pt>
                <c:pt idx="18">
                  <c:v>Jun 19</c:v>
                </c:pt>
                <c:pt idx="19">
                  <c:v>Jun 20</c:v>
                </c:pt>
                <c:pt idx="20">
                  <c:v>Jun 21</c:v>
                </c:pt>
                <c:pt idx="21">
                  <c:v>Jun 22</c:v>
                </c:pt>
                <c:pt idx="22">
                  <c:v>Jun 23</c:v>
                </c:pt>
                <c:pt idx="23">
                  <c:v>Jun 24</c:v>
                </c:pt>
                <c:pt idx="24">
                  <c:v>Jun 25</c:v>
                </c:pt>
                <c:pt idx="25">
                  <c:v>Jun 26</c:v>
                </c:pt>
                <c:pt idx="26">
                  <c:v>Jun 27</c:v>
                </c:pt>
                <c:pt idx="27">
                  <c:v>Jun 28</c:v>
                </c:pt>
                <c:pt idx="28">
                  <c:v>Jun 29</c:v>
                </c:pt>
                <c:pt idx="29">
                  <c:v>Jun 30</c:v>
                </c:pt>
              </c:strCache>
            </c:strRef>
          </c:cat>
          <c:val>
            <c:numRef>
              <c:f>Jun_2026!$F$22:$F$51</c:f>
              <c:numCache>
                <c:formatCode>\+0.000;\-0.000;0.000</c:formatCode>
                <c:ptCount val="30"/>
                <c:pt idx="0">
                  <c:v>0.53600000000000003</c:v>
                </c:pt>
                <c:pt idx="1">
                  <c:v>0.55149999999999999</c:v>
                </c:pt>
                <c:pt idx="2">
                  <c:v>0.57033333333333325</c:v>
                </c:pt>
                <c:pt idx="3">
                  <c:v>0.58050000000000002</c:v>
                </c:pt>
                <c:pt idx="4">
                  <c:v>0.58540000000000003</c:v>
                </c:pt>
                <c:pt idx="5">
                  <c:v>0.59633333333333338</c:v>
                </c:pt>
                <c:pt idx="6">
                  <c:v>0.60442857142857143</c:v>
                </c:pt>
                <c:pt idx="7">
                  <c:v>0.60962499999999997</c:v>
                </c:pt>
                <c:pt idx="8">
                  <c:v>0.60933333333333328</c:v>
                </c:pt>
                <c:pt idx="9">
                  <c:v>0.60799999999999998</c:v>
                </c:pt>
                <c:pt idx="10">
                  <c:v>0.6092727272727273</c:v>
                </c:pt>
                <c:pt idx="11">
                  <c:v>0.60849999999999993</c:v>
                </c:pt>
                <c:pt idx="12">
                  <c:v>0.60284615384615381</c:v>
                </c:pt>
                <c:pt idx="13">
                  <c:v>0.5923571428571428</c:v>
                </c:pt>
                <c:pt idx="14">
                  <c:v>0.58360000000000001</c:v>
                </c:pt>
                <c:pt idx="15">
                  <c:v>0.57793749999999999</c:v>
                </c:pt>
                <c:pt idx="16">
                  <c:v>0.57335294117647062</c:v>
                </c:pt>
                <c:pt idx="17">
                  <c:v>0.56933333333333325</c:v>
                </c:pt>
                <c:pt idx="18">
                  <c:v>0.56378947368421051</c:v>
                </c:pt>
                <c:pt idx="19">
                  <c:v>0.55919999999999992</c:v>
                </c:pt>
                <c:pt idx="20">
                  <c:v>0.55776190476190468</c:v>
                </c:pt>
                <c:pt idx="21">
                  <c:v>0.55727272727272725</c:v>
                </c:pt>
                <c:pt idx="22">
                  <c:v>0.55386956521739128</c:v>
                </c:pt>
                <c:pt idx="23">
                  <c:v>0.5492083333333333</c:v>
                </c:pt>
                <c:pt idx="24">
                  <c:v>0.54675999999999991</c:v>
                </c:pt>
                <c:pt idx="25">
                  <c:v>0.54776923076923079</c:v>
                </c:pt>
                <c:pt idx="26">
                  <c:v>0.55003703703703699</c:v>
                </c:pt>
                <c:pt idx="27">
                  <c:v>0.55371428571428571</c:v>
                </c:pt>
                <c:pt idx="28">
                  <c:v>0.55668965517241376</c:v>
                </c:pt>
                <c:pt idx="29">
                  <c:v>0.55930000000000002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9-EC40-9309-A798F90FDA9A}"/>
            </c:ext>
          </c:extLst>
        </c:ser>
        <c:ser>
          <c:idx val="1"/>
          <c:order val="1"/>
          <c:tx>
            <c:v>2024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Jun_2026!$A$22:$A$51</c:f>
              <c:strCache>
                <c:ptCount val="30"/>
                <c:pt idx="0">
                  <c:v>Jun 01</c:v>
                </c:pt>
                <c:pt idx="1">
                  <c:v>Jun 02</c:v>
                </c:pt>
                <c:pt idx="2">
                  <c:v>Jun 03</c:v>
                </c:pt>
                <c:pt idx="3">
                  <c:v>Jun 04</c:v>
                </c:pt>
                <c:pt idx="4">
                  <c:v>Jun 05</c:v>
                </c:pt>
                <c:pt idx="5">
                  <c:v>Jun 06</c:v>
                </c:pt>
                <c:pt idx="6">
                  <c:v>Jun 07</c:v>
                </c:pt>
                <c:pt idx="7">
                  <c:v>Jun 08</c:v>
                </c:pt>
                <c:pt idx="8">
                  <c:v>Jun 09</c:v>
                </c:pt>
                <c:pt idx="9">
                  <c:v>Jun 10</c:v>
                </c:pt>
                <c:pt idx="10">
                  <c:v>Jun 11</c:v>
                </c:pt>
                <c:pt idx="11">
                  <c:v>Jun 12</c:v>
                </c:pt>
                <c:pt idx="12">
                  <c:v>Jun 13</c:v>
                </c:pt>
                <c:pt idx="13">
                  <c:v>Jun 14</c:v>
                </c:pt>
                <c:pt idx="14">
                  <c:v>Jun 15</c:v>
                </c:pt>
                <c:pt idx="15">
                  <c:v>Jun 16</c:v>
                </c:pt>
                <c:pt idx="16">
                  <c:v>Jun 17</c:v>
                </c:pt>
                <c:pt idx="17">
                  <c:v>Jun 18</c:v>
                </c:pt>
                <c:pt idx="18">
                  <c:v>Jun 19</c:v>
                </c:pt>
                <c:pt idx="19">
                  <c:v>Jun 20</c:v>
                </c:pt>
                <c:pt idx="20">
                  <c:v>Jun 21</c:v>
                </c:pt>
                <c:pt idx="21">
                  <c:v>Jun 22</c:v>
                </c:pt>
                <c:pt idx="22">
                  <c:v>Jun 23</c:v>
                </c:pt>
                <c:pt idx="23">
                  <c:v>Jun 24</c:v>
                </c:pt>
                <c:pt idx="24">
                  <c:v>Jun 25</c:v>
                </c:pt>
                <c:pt idx="25">
                  <c:v>Jun 26</c:v>
                </c:pt>
                <c:pt idx="26">
                  <c:v>Jun 27</c:v>
                </c:pt>
                <c:pt idx="27">
                  <c:v>Jun 28</c:v>
                </c:pt>
                <c:pt idx="28">
                  <c:v>Jun 29</c:v>
                </c:pt>
                <c:pt idx="29">
                  <c:v>Jun 30</c:v>
                </c:pt>
              </c:strCache>
            </c:strRef>
          </c:cat>
          <c:val>
            <c:numRef>
              <c:f>Jun_2026!$G$22:$G$51</c:f>
              <c:numCache>
                <c:formatCode>\+0.000;\-0.000;0.000</c:formatCode>
                <c:ptCount val="30"/>
                <c:pt idx="0">
                  <c:v>0.872</c:v>
                </c:pt>
                <c:pt idx="1">
                  <c:v>0.83550000000000002</c:v>
                </c:pt>
                <c:pt idx="2">
                  <c:v>0.80030000000000001</c:v>
                </c:pt>
                <c:pt idx="3">
                  <c:v>0.77549999999999997</c:v>
                </c:pt>
                <c:pt idx="4">
                  <c:v>0.76280000000000003</c:v>
                </c:pt>
                <c:pt idx="5">
                  <c:v>0.74750000000000005</c:v>
                </c:pt>
                <c:pt idx="6">
                  <c:v>0.73440000000000005</c:v>
                </c:pt>
                <c:pt idx="7">
                  <c:v>0.7288</c:v>
                </c:pt>
                <c:pt idx="8">
                  <c:v>0.72760000000000002</c:v>
                </c:pt>
                <c:pt idx="9">
                  <c:v>0.72699999999999998</c:v>
                </c:pt>
                <c:pt idx="10">
                  <c:v>0.72960000000000003</c:v>
                </c:pt>
                <c:pt idx="11">
                  <c:v>0.73499999999999999</c:v>
                </c:pt>
                <c:pt idx="12">
                  <c:v>0.74339999999999995</c:v>
                </c:pt>
                <c:pt idx="13">
                  <c:v>0.749</c:v>
                </c:pt>
                <c:pt idx="14">
                  <c:v>0.74870000000000003</c:v>
                </c:pt>
                <c:pt idx="15">
                  <c:v>0.74570000000000003</c:v>
                </c:pt>
                <c:pt idx="16">
                  <c:v>0.74309999999999998</c:v>
                </c:pt>
                <c:pt idx="17">
                  <c:v>0.73850000000000005</c:v>
                </c:pt>
                <c:pt idx="18">
                  <c:v>0.73119999999999996</c:v>
                </c:pt>
                <c:pt idx="19">
                  <c:v>0.72199999999999998</c:v>
                </c:pt>
                <c:pt idx="20">
                  <c:v>0.71340000000000003</c:v>
                </c:pt>
                <c:pt idx="21">
                  <c:v>0.70540000000000003</c:v>
                </c:pt>
                <c:pt idx="22">
                  <c:v>0.69899999999999995</c:v>
                </c:pt>
                <c:pt idx="23">
                  <c:v>0.69279999999999997</c:v>
                </c:pt>
                <c:pt idx="24">
                  <c:v>0.68789999999999996</c:v>
                </c:pt>
                <c:pt idx="25">
                  <c:v>0.68510000000000004</c:v>
                </c:pt>
                <c:pt idx="26">
                  <c:v>0.68279999999999996</c:v>
                </c:pt>
                <c:pt idx="27">
                  <c:v>0.6804</c:v>
                </c:pt>
                <c:pt idx="28">
                  <c:v>0.67810000000000004</c:v>
                </c:pt>
                <c:pt idx="29">
                  <c:v>0.67530000000000001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09-EC40-9309-A798F90FDA9A}"/>
            </c:ext>
          </c:extLst>
        </c:ser>
        <c:ser>
          <c:idx val="2"/>
          <c:order val="2"/>
          <c:tx>
            <c:v>2023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Jun_2026!$A$22:$A$51</c:f>
              <c:strCache>
                <c:ptCount val="30"/>
                <c:pt idx="0">
                  <c:v>Jun 01</c:v>
                </c:pt>
                <c:pt idx="1">
                  <c:v>Jun 02</c:v>
                </c:pt>
                <c:pt idx="2">
                  <c:v>Jun 03</c:v>
                </c:pt>
                <c:pt idx="3">
                  <c:v>Jun 04</c:v>
                </c:pt>
                <c:pt idx="4">
                  <c:v>Jun 05</c:v>
                </c:pt>
                <c:pt idx="5">
                  <c:v>Jun 06</c:v>
                </c:pt>
                <c:pt idx="6">
                  <c:v>Jun 07</c:v>
                </c:pt>
                <c:pt idx="7">
                  <c:v>Jun 08</c:v>
                </c:pt>
                <c:pt idx="8">
                  <c:v>Jun 09</c:v>
                </c:pt>
                <c:pt idx="9">
                  <c:v>Jun 10</c:v>
                </c:pt>
                <c:pt idx="10">
                  <c:v>Jun 11</c:v>
                </c:pt>
                <c:pt idx="11">
                  <c:v>Jun 12</c:v>
                </c:pt>
                <c:pt idx="12">
                  <c:v>Jun 13</c:v>
                </c:pt>
                <c:pt idx="13">
                  <c:v>Jun 14</c:v>
                </c:pt>
                <c:pt idx="14">
                  <c:v>Jun 15</c:v>
                </c:pt>
                <c:pt idx="15">
                  <c:v>Jun 16</c:v>
                </c:pt>
                <c:pt idx="16">
                  <c:v>Jun 17</c:v>
                </c:pt>
                <c:pt idx="17">
                  <c:v>Jun 18</c:v>
                </c:pt>
                <c:pt idx="18">
                  <c:v>Jun 19</c:v>
                </c:pt>
                <c:pt idx="19">
                  <c:v>Jun 20</c:v>
                </c:pt>
                <c:pt idx="20">
                  <c:v>Jun 21</c:v>
                </c:pt>
                <c:pt idx="21">
                  <c:v>Jun 22</c:v>
                </c:pt>
                <c:pt idx="22">
                  <c:v>Jun 23</c:v>
                </c:pt>
                <c:pt idx="23">
                  <c:v>Jun 24</c:v>
                </c:pt>
                <c:pt idx="24">
                  <c:v>Jun 25</c:v>
                </c:pt>
                <c:pt idx="25">
                  <c:v>Jun 26</c:v>
                </c:pt>
                <c:pt idx="26">
                  <c:v>Jun 27</c:v>
                </c:pt>
                <c:pt idx="27">
                  <c:v>Jun 28</c:v>
                </c:pt>
                <c:pt idx="28">
                  <c:v>Jun 29</c:v>
                </c:pt>
                <c:pt idx="29">
                  <c:v>Jun 30</c:v>
                </c:pt>
              </c:strCache>
            </c:strRef>
          </c:cat>
          <c:val>
            <c:numRef>
              <c:f>Jun_2026!$H$22:$H$51</c:f>
              <c:numCache>
                <c:formatCode>\+0.000;\-0.000;0.000</c:formatCode>
                <c:ptCount val="30"/>
                <c:pt idx="0">
                  <c:v>0.47099999999999997</c:v>
                </c:pt>
                <c:pt idx="1">
                  <c:v>0.48299999999999998</c:v>
                </c:pt>
                <c:pt idx="2">
                  <c:v>0.49969999999999998</c:v>
                </c:pt>
                <c:pt idx="3">
                  <c:v>0.504</c:v>
                </c:pt>
                <c:pt idx="4">
                  <c:v>0.50419999999999998</c:v>
                </c:pt>
                <c:pt idx="5">
                  <c:v>0.51619999999999999</c:v>
                </c:pt>
                <c:pt idx="6">
                  <c:v>0.53800000000000003</c:v>
                </c:pt>
                <c:pt idx="7">
                  <c:v>0.56889999999999996</c:v>
                </c:pt>
                <c:pt idx="8">
                  <c:v>0.59670000000000001</c:v>
                </c:pt>
                <c:pt idx="9">
                  <c:v>0.61070000000000002</c:v>
                </c:pt>
                <c:pt idx="10">
                  <c:v>0.61360000000000003</c:v>
                </c:pt>
                <c:pt idx="11">
                  <c:v>0.61209999999999998</c:v>
                </c:pt>
                <c:pt idx="12">
                  <c:v>0.60599999999999998</c:v>
                </c:pt>
                <c:pt idx="13">
                  <c:v>0.59770000000000001</c:v>
                </c:pt>
                <c:pt idx="14">
                  <c:v>0.59099999999999997</c:v>
                </c:pt>
                <c:pt idx="15">
                  <c:v>0.5847</c:v>
                </c:pt>
                <c:pt idx="16">
                  <c:v>0.57820000000000005</c:v>
                </c:pt>
                <c:pt idx="17">
                  <c:v>0.5716</c:v>
                </c:pt>
                <c:pt idx="18">
                  <c:v>0.56469999999999998</c:v>
                </c:pt>
                <c:pt idx="19">
                  <c:v>0.55430000000000001</c:v>
                </c:pt>
                <c:pt idx="20">
                  <c:v>0.54569999999999996</c:v>
                </c:pt>
                <c:pt idx="21">
                  <c:v>0.53969999999999996</c:v>
                </c:pt>
                <c:pt idx="22">
                  <c:v>0.5353</c:v>
                </c:pt>
                <c:pt idx="23">
                  <c:v>0.53490000000000004</c:v>
                </c:pt>
                <c:pt idx="24">
                  <c:v>0.53659999999999997</c:v>
                </c:pt>
                <c:pt idx="25">
                  <c:v>0.53790000000000004</c:v>
                </c:pt>
                <c:pt idx="26">
                  <c:v>0.53869999999999996</c:v>
                </c:pt>
                <c:pt idx="27">
                  <c:v>0.53769999999999996</c:v>
                </c:pt>
                <c:pt idx="28">
                  <c:v>0.53610000000000002</c:v>
                </c:pt>
                <c:pt idx="29">
                  <c:v>0.53200000000000003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09-EC40-9309-A798F90FDA9A}"/>
            </c:ext>
          </c:extLst>
        </c:ser>
        <c:ser>
          <c:idx val="3"/>
          <c:order val="3"/>
          <c:tx>
            <c:v>record pace +0.660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Jun_2026!$A$22:$A$51</c:f>
              <c:strCache>
                <c:ptCount val="30"/>
                <c:pt idx="0">
                  <c:v>Jun 01</c:v>
                </c:pt>
                <c:pt idx="1">
                  <c:v>Jun 02</c:v>
                </c:pt>
                <c:pt idx="2">
                  <c:v>Jun 03</c:v>
                </c:pt>
                <c:pt idx="3">
                  <c:v>Jun 04</c:v>
                </c:pt>
                <c:pt idx="4">
                  <c:v>Jun 05</c:v>
                </c:pt>
                <c:pt idx="5">
                  <c:v>Jun 06</c:v>
                </c:pt>
                <c:pt idx="6">
                  <c:v>Jun 07</c:v>
                </c:pt>
                <c:pt idx="7">
                  <c:v>Jun 08</c:v>
                </c:pt>
                <c:pt idx="8">
                  <c:v>Jun 09</c:v>
                </c:pt>
                <c:pt idx="9">
                  <c:v>Jun 10</c:v>
                </c:pt>
                <c:pt idx="10">
                  <c:v>Jun 11</c:v>
                </c:pt>
                <c:pt idx="11">
                  <c:v>Jun 12</c:v>
                </c:pt>
                <c:pt idx="12">
                  <c:v>Jun 13</c:v>
                </c:pt>
                <c:pt idx="13">
                  <c:v>Jun 14</c:v>
                </c:pt>
                <c:pt idx="14">
                  <c:v>Jun 15</c:v>
                </c:pt>
                <c:pt idx="15">
                  <c:v>Jun 16</c:v>
                </c:pt>
                <c:pt idx="16">
                  <c:v>Jun 17</c:v>
                </c:pt>
                <c:pt idx="17">
                  <c:v>Jun 18</c:v>
                </c:pt>
                <c:pt idx="18">
                  <c:v>Jun 19</c:v>
                </c:pt>
                <c:pt idx="19">
                  <c:v>Jun 20</c:v>
                </c:pt>
                <c:pt idx="20">
                  <c:v>Jun 21</c:v>
                </c:pt>
                <c:pt idx="21">
                  <c:v>Jun 22</c:v>
                </c:pt>
                <c:pt idx="22">
                  <c:v>Jun 23</c:v>
                </c:pt>
                <c:pt idx="23">
                  <c:v>Jun 24</c:v>
                </c:pt>
                <c:pt idx="24">
                  <c:v>Jun 25</c:v>
                </c:pt>
                <c:pt idx="25">
                  <c:v>Jun 26</c:v>
                </c:pt>
                <c:pt idx="26">
                  <c:v>Jun 27</c:v>
                </c:pt>
                <c:pt idx="27">
                  <c:v>Jun 28</c:v>
                </c:pt>
                <c:pt idx="28">
                  <c:v>Jun 29</c:v>
                </c:pt>
                <c:pt idx="29">
                  <c:v>Jun 30</c:v>
                </c:pt>
              </c:strCache>
            </c:strRef>
          </c:cat>
          <c:val>
            <c:numRef>
              <c:f>Jun_2026!$R$22:$R$51</c:f>
              <c:numCache>
                <c:formatCode>\+0.000;\-0.000;0.000</c:formatCode>
                <c:ptCount val="30"/>
                <c:pt idx="0">
                  <c:v>0.65964254192409544</c:v>
                </c:pt>
                <c:pt idx="1">
                  <c:v>0.65964254192409544</c:v>
                </c:pt>
                <c:pt idx="2">
                  <c:v>0.65964254192409544</c:v>
                </c:pt>
                <c:pt idx="3">
                  <c:v>0.65964254192409544</c:v>
                </c:pt>
                <c:pt idx="4">
                  <c:v>0.65964254192409544</c:v>
                </c:pt>
                <c:pt idx="5">
                  <c:v>0.65964254192409544</c:v>
                </c:pt>
                <c:pt idx="6">
                  <c:v>0.65964254192409544</c:v>
                </c:pt>
                <c:pt idx="7">
                  <c:v>0.65964254192409544</c:v>
                </c:pt>
                <c:pt idx="8">
                  <c:v>0.65964254192409544</c:v>
                </c:pt>
                <c:pt idx="9">
                  <c:v>0.65964254192409544</c:v>
                </c:pt>
                <c:pt idx="10">
                  <c:v>0.65964254192409544</c:v>
                </c:pt>
                <c:pt idx="11">
                  <c:v>0.65964254192409544</c:v>
                </c:pt>
                <c:pt idx="12">
                  <c:v>0.65964254192409544</c:v>
                </c:pt>
                <c:pt idx="13">
                  <c:v>0.65964254192409544</c:v>
                </c:pt>
                <c:pt idx="14">
                  <c:v>0.65964254192409544</c:v>
                </c:pt>
                <c:pt idx="15">
                  <c:v>0.65964254192409544</c:v>
                </c:pt>
                <c:pt idx="16">
                  <c:v>0.65964254192409544</c:v>
                </c:pt>
                <c:pt idx="17">
                  <c:v>0.65964254192409544</c:v>
                </c:pt>
                <c:pt idx="18">
                  <c:v>0.65964254192409544</c:v>
                </c:pt>
                <c:pt idx="19">
                  <c:v>0.65964254192409544</c:v>
                </c:pt>
                <c:pt idx="20">
                  <c:v>0.65964254192409544</c:v>
                </c:pt>
                <c:pt idx="21">
                  <c:v>0.65964254192409544</c:v>
                </c:pt>
                <c:pt idx="22">
                  <c:v>0.65964254192409544</c:v>
                </c:pt>
                <c:pt idx="23">
                  <c:v>0.65964254192409544</c:v>
                </c:pt>
                <c:pt idx="24">
                  <c:v>0.65964254192409544</c:v>
                </c:pt>
                <c:pt idx="25">
                  <c:v>0.65964254192409544</c:v>
                </c:pt>
                <c:pt idx="26">
                  <c:v>0.65964254192409544</c:v>
                </c:pt>
                <c:pt idx="27">
                  <c:v>0.65964254192409544</c:v>
                </c:pt>
                <c:pt idx="28">
                  <c:v>0.65964254192409544</c:v>
                </c:pt>
                <c:pt idx="29">
                  <c:v>0.65964254192409544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09-EC40-9309-A798F90FD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Model vs market — YES in cents (gap = edge)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model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Jun_2026!$A$18:$A$51</c:f>
              <c:strCache>
                <c:ptCount val="34"/>
                <c:pt idx="0">
                  <c:v>May 28</c:v>
                </c:pt>
                <c:pt idx="1">
                  <c:v>May 29</c:v>
                </c:pt>
                <c:pt idx="2">
                  <c:v>May 30</c:v>
                </c:pt>
                <c:pt idx="3">
                  <c:v>May 31</c:v>
                </c:pt>
                <c:pt idx="4">
                  <c:v>Jun 01</c:v>
                </c:pt>
                <c:pt idx="5">
                  <c:v>Jun 02</c:v>
                </c:pt>
                <c:pt idx="6">
                  <c:v>Jun 03</c:v>
                </c:pt>
                <c:pt idx="7">
                  <c:v>Jun 04</c:v>
                </c:pt>
                <c:pt idx="8">
                  <c:v>Jun 05</c:v>
                </c:pt>
                <c:pt idx="9">
                  <c:v>Jun 06</c:v>
                </c:pt>
                <c:pt idx="10">
                  <c:v>Jun 07</c:v>
                </c:pt>
                <c:pt idx="11">
                  <c:v>Jun 08</c:v>
                </c:pt>
                <c:pt idx="12">
                  <c:v>Jun 09</c:v>
                </c:pt>
                <c:pt idx="13">
                  <c:v>Jun 10</c:v>
                </c:pt>
                <c:pt idx="14">
                  <c:v>Jun 11</c:v>
                </c:pt>
                <c:pt idx="15">
                  <c:v>Jun 12</c:v>
                </c:pt>
                <c:pt idx="16">
                  <c:v>Jun 13</c:v>
                </c:pt>
                <c:pt idx="17">
                  <c:v>Jun 14</c:v>
                </c:pt>
                <c:pt idx="18">
                  <c:v>Jun 15</c:v>
                </c:pt>
                <c:pt idx="19">
                  <c:v>Jun 16</c:v>
                </c:pt>
                <c:pt idx="20">
                  <c:v>Jun 17</c:v>
                </c:pt>
                <c:pt idx="21">
                  <c:v>Jun 18</c:v>
                </c:pt>
                <c:pt idx="22">
                  <c:v>Jun 19</c:v>
                </c:pt>
                <c:pt idx="23">
                  <c:v>Jun 20</c:v>
                </c:pt>
                <c:pt idx="24">
                  <c:v>Jun 21</c:v>
                </c:pt>
                <c:pt idx="25">
                  <c:v>Jun 22</c:v>
                </c:pt>
                <c:pt idx="26">
                  <c:v>Jun 23</c:v>
                </c:pt>
                <c:pt idx="27">
                  <c:v>Jun 24</c:v>
                </c:pt>
                <c:pt idx="28">
                  <c:v>Jun 25</c:v>
                </c:pt>
                <c:pt idx="29">
                  <c:v>Jun 26</c:v>
                </c:pt>
                <c:pt idx="30">
                  <c:v>Jun 27</c:v>
                </c:pt>
                <c:pt idx="31">
                  <c:v>Jun 28</c:v>
                </c:pt>
                <c:pt idx="32">
                  <c:v>Jun 29</c:v>
                </c:pt>
                <c:pt idx="33">
                  <c:v>Jun 30</c:v>
                </c:pt>
              </c:strCache>
            </c:strRef>
          </c:cat>
          <c:val>
            <c:numRef>
              <c:f>Jun_2026!$S$18:$S$51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1.0714173398675864</c:v>
                </c:pt>
                <c:pt idx="5">
                  <c:v>1.1128660029775195</c:v>
                </c:pt>
                <c:pt idx="6">
                  <c:v>1.241369953545568</c:v>
                </c:pt>
                <c:pt idx="7">
                  <c:v>1.3896422295733624</c:v>
                </c:pt>
                <c:pt idx="8">
                  <c:v>1.5373259900374081</c:v>
                </c:pt>
                <c:pt idx="9">
                  <c:v>1.8324109196685368</c:v>
                </c:pt>
                <c:pt idx="10">
                  <c:v>2.1814111219499388</c:v>
                </c:pt>
                <c:pt idx="11">
                  <c:v>2.5569090245621262</c:v>
                </c:pt>
                <c:pt idx="12">
                  <c:v>2.8123409583257986</c:v>
                </c:pt>
                <c:pt idx="13">
                  <c:v>3.0376590405385206</c:v>
                </c:pt>
                <c:pt idx="14">
                  <c:v>3.4073108702738608</c:v>
                </c:pt>
                <c:pt idx="15">
                  <c:v>3.6926082496239743</c:v>
                </c:pt>
                <c:pt idx="16">
                  <c:v>3.6361731651501916</c:v>
                </c:pt>
                <c:pt idx="17">
                  <c:v>3.1832398655584959</c:v>
                </c:pt>
                <c:pt idx="18">
                  <c:v>2.7994056585193716</c:v>
                </c:pt>
                <c:pt idx="19">
                  <c:v>2.5809423347569416</c:v>
                </c:pt>
                <c:pt idx="20">
                  <c:v>2.4033240810419243</c:v>
                </c:pt>
                <c:pt idx="21">
                  <c:v>2.2396584604591374</c:v>
                </c:pt>
                <c:pt idx="22">
                  <c:v>1.964246105832379</c:v>
                </c:pt>
                <c:pt idx="23">
                  <c:v>1.7410711552219738</c:v>
                </c:pt>
                <c:pt idx="24">
                  <c:v>1.6940604032979589</c:v>
                </c:pt>
                <c:pt idx="25">
                  <c:v>1.6982887856695328</c:v>
                </c:pt>
                <c:pt idx="26">
                  <c:v>1.5192795548072846</c:v>
                </c:pt>
                <c:pt idx="27">
                  <c:v>1.2729568439715289</c:v>
                </c:pt>
                <c:pt idx="28">
                  <c:v>1.1516577866699573</c:v>
                </c:pt>
                <c:pt idx="29">
                  <c:v>1.2083575262321844</c:v>
                </c:pt>
                <c:pt idx="30">
                  <c:v>1.3486039331297328</c:v>
                </c:pt>
                <c:pt idx="31">
                  <c:v>1.6181206498915413</c:v>
                </c:pt>
                <c:pt idx="32">
                  <c:v>1.8919335208801513</c:v>
                </c:pt>
                <c:pt idx="33">
                  <c:v>2.1866529245471611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EE-AD41-A68D-59FBE1CDFD05}"/>
            </c:ext>
          </c:extLst>
        </c:ser>
        <c:ser>
          <c:idx val="1"/>
          <c:order val="1"/>
          <c:tx>
            <c:v>market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Jun_2026!$A$18:$A$51</c:f>
              <c:strCache>
                <c:ptCount val="34"/>
                <c:pt idx="0">
                  <c:v>May 28</c:v>
                </c:pt>
                <c:pt idx="1">
                  <c:v>May 29</c:v>
                </c:pt>
                <c:pt idx="2">
                  <c:v>May 30</c:v>
                </c:pt>
                <c:pt idx="3">
                  <c:v>May 31</c:v>
                </c:pt>
                <c:pt idx="4">
                  <c:v>Jun 01</c:v>
                </c:pt>
                <c:pt idx="5">
                  <c:v>Jun 02</c:v>
                </c:pt>
                <c:pt idx="6">
                  <c:v>Jun 03</c:v>
                </c:pt>
                <c:pt idx="7">
                  <c:v>Jun 04</c:v>
                </c:pt>
                <c:pt idx="8">
                  <c:v>Jun 05</c:v>
                </c:pt>
                <c:pt idx="9">
                  <c:v>Jun 06</c:v>
                </c:pt>
                <c:pt idx="10">
                  <c:v>Jun 07</c:v>
                </c:pt>
                <c:pt idx="11">
                  <c:v>Jun 08</c:v>
                </c:pt>
                <c:pt idx="12">
                  <c:v>Jun 09</c:v>
                </c:pt>
                <c:pt idx="13">
                  <c:v>Jun 10</c:v>
                </c:pt>
                <c:pt idx="14">
                  <c:v>Jun 11</c:v>
                </c:pt>
                <c:pt idx="15">
                  <c:v>Jun 12</c:v>
                </c:pt>
                <c:pt idx="16">
                  <c:v>Jun 13</c:v>
                </c:pt>
                <c:pt idx="17">
                  <c:v>Jun 14</c:v>
                </c:pt>
                <c:pt idx="18">
                  <c:v>Jun 15</c:v>
                </c:pt>
                <c:pt idx="19">
                  <c:v>Jun 16</c:v>
                </c:pt>
                <c:pt idx="20">
                  <c:v>Jun 17</c:v>
                </c:pt>
                <c:pt idx="21">
                  <c:v>Jun 18</c:v>
                </c:pt>
                <c:pt idx="22">
                  <c:v>Jun 19</c:v>
                </c:pt>
                <c:pt idx="23">
                  <c:v>Jun 20</c:v>
                </c:pt>
                <c:pt idx="24">
                  <c:v>Jun 21</c:v>
                </c:pt>
                <c:pt idx="25">
                  <c:v>Jun 22</c:v>
                </c:pt>
                <c:pt idx="26">
                  <c:v>Jun 23</c:v>
                </c:pt>
                <c:pt idx="27">
                  <c:v>Jun 24</c:v>
                </c:pt>
                <c:pt idx="28">
                  <c:v>Jun 25</c:v>
                </c:pt>
                <c:pt idx="29">
                  <c:v>Jun 26</c:v>
                </c:pt>
                <c:pt idx="30">
                  <c:v>Jun 27</c:v>
                </c:pt>
                <c:pt idx="31">
                  <c:v>Jun 28</c:v>
                </c:pt>
                <c:pt idx="32">
                  <c:v>Jun 29</c:v>
                </c:pt>
                <c:pt idx="33">
                  <c:v>Jun 30</c:v>
                </c:pt>
              </c:strCache>
            </c:strRef>
          </c:cat>
          <c:val>
            <c:numRef>
              <c:f>Jun_2026!$L$18:$L$51</c:f>
              <c:numCache>
                <c:formatCode>0.0</c:formatCode>
                <c:ptCount val="34"/>
                <c:pt idx="0">
                  <c:v>10</c:v>
                </c:pt>
                <c:pt idx="1">
                  <c:v>10</c:v>
                </c:pt>
                <c:pt idx="2">
                  <c:v>28</c:v>
                </c:pt>
                <c:pt idx="3">
                  <c:v>21</c:v>
                </c:pt>
                <c:pt idx="4">
                  <c:v>15</c:v>
                </c:pt>
                <c:pt idx="5">
                  <c:v>13</c:v>
                </c:pt>
                <c:pt idx="6">
                  <c:v>13</c:v>
                </c:pt>
                <c:pt idx="7">
                  <c:v>15</c:v>
                </c:pt>
                <c:pt idx="8">
                  <c:v>15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11</c:v>
                </c:pt>
                <c:pt idx="13">
                  <c:v>13</c:v>
                </c:pt>
                <c:pt idx="14">
                  <c:v>10</c:v>
                </c:pt>
                <c:pt idx="15">
                  <c:v>9</c:v>
                </c:pt>
                <c:pt idx="16">
                  <c:v>7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6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3</c:v>
                </c:pt>
                <c:pt idx="26">
                  <c:v>3</c:v>
                </c:pt>
                <c:pt idx="27">
                  <c:v>5</c:v>
                </c:pt>
                <c:pt idx="28">
                  <c:v>1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EE-AD41-A68D-59FBE1CDF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Volume and open interest — KXHMONTH-26JUN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volume</c:v>
          </c:tx>
          <c:spPr>
            <a:ln>
              <a:prstDash val="solid"/>
            </a:ln>
          </c:spPr>
          <c:invertIfNegative val="1"/>
          <c:cat>
            <c:strRef>
              <c:f>Jun_2026!$A$18:$A$51</c:f>
              <c:strCache>
                <c:ptCount val="34"/>
                <c:pt idx="0">
                  <c:v>May 28</c:v>
                </c:pt>
                <c:pt idx="1">
                  <c:v>May 29</c:v>
                </c:pt>
                <c:pt idx="2">
                  <c:v>May 30</c:v>
                </c:pt>
                <c:pt idx="3">
                  <c:v>May 31</c:v>
                </c:pt>
                <c:pt idx="4">
                  <c:v>Jun 01</c:v>
                </c:pt>
                <c:pt idx="5">
                  <c:v>Jun 02</c:v>
                </c:pt>
                <c:pt idx="6">
                  <c:v>Jun 03</c:v>
                </c:pt>
                <c:pt idx="7">
                  <c:v>Jun 04</c:v>
                </c:pt>
                <c:pt idx="8">
                  <c:v>Jun 05</c:v>
                </c:pt>
                <c:pt idx="9">
                  <c:v>Jun 06</c:v>
                </c:pt>
                <c:pt idx="10">
                  <c:v>Jun 07</c:v>
                </c:pt>
                <c:pt idx="11">
                  <c:v>Jun 08</c:v>
                </c:pt>
                <c:pt idx="12">
                  <c:v>Jun 09</c:v>
                </c:pt>
                <c:pt idx="13">
                  <c:v>Jun 10</c:v>
                </c:pt>
                <c:pt idx="14">
                  <c:v>Jun 11</c:v>
                </c:pt>
                <c:pt idx="15">
                  <c:v>Jun 12</c:v>
                </c:pt>
                <c:pt idx="16">
                  <c:v>Jun 13</c:v>
                </c:pt>
                <c:pt idx="17">
                  <c:v>Jun 14</c:v>
                </c:pt>
                <c:pt idx="18">
                  <c:v>Jun 15</c:v>
                </c:pt>
                <c:pt idx="19">
                  <c:v>Jun 16</c:v>
                </c:pt>
                <c:pt idx="20">
                  <c:v>Jun 17</c:v>
                </c:pt>
                <c:pt idx="21">
                  <c:v>Jun 18</c:v>
                </c:pt>
                <c:pt idx="22">
                  <c:v>Jun 19</c:v>
                </c:pt>
                <c:pt idx="23">
                  <c:v>Jun 20</c:v>
                </c:pt>
                <c:pt idx="24">
                  <c:v>Jun 21</c:v>
                </c:pt>
                <c:pt idx="25">
                  <c:v>Jun 22</c:v>
                </c:pt>
                <c:pt idx="26">
                  <c:v>Jun 23</c:v>
                </c:pt>
                <c:pt idx="27">
                  <c:v>Jun 24</c:v>
                </c:pt>
                <c:pt idx="28">
                  <c:v>Jun 25</c:v>
                </c:pt>
                <c:pt idx="29">
                  <c:v>Jun 26</c:v>
                </c:pt>
                <c:pt idx="30">
                  <c:v>Jun 27</c:v>
                </c:pt>
                <c:pt idx="31">
                  <c:v>Jun 28</c:v>
                </c:pt>
                <c:pt idx="32">
                  <c:v>Jun 29</c:v>
                </c:pt>
                <c:pt idx="33">
                  <c:v>Jun 30</c:v>
                </c:pt>
              </c:strCache>
            </c:strRef>
          </c:cat>
          <c:val>
            <c:numRef>
              <c:f>Jun_2026!$N$18:$N$51</c:f>
              <c:numCache>
                <c:formatCode>#,##0</c:formatCode>
                <c:ptCount val="34"/>
                <c:pt idx="0">
                  <c:v>51</c:v>
                </c:pt>
                <c:pt idx="1">
                  <c:v>10</c:v>
                </c:pt>
                <c:pt idx="2">
                  <c:v>1003.06</c:v>
                </c:pt>
                <c:pt idx="3">
                  <c:v>285.61</c:v>
                </c:pt>
                <c:pt idx="4">
                  <c:v>302.5</c:v>
                </c:pt>
                <c:pt idx="5">
                  <c:v>240.81</c:v>
                </c:pt>
                <c:pt idx="6">
                  <c:v>21</c:v>
                </c:pt>
                <c:pt idx="7">
                  <c:v>27.22</c:v>
                </c:pt>
                <c:pt idx="8">
                  <c:v>720.73</c:v>
                </c:pt>
                <c:pt idx="9">
                  <c:v>280.5</c:v>
                </c:pt>
                <c:pt idx="10">
                  <c:v>296.2</c:v>
                </c:pt>
                <c:pt idx="11">
                  <c:v>15.9</c:v>
                </c:pt>
                <c:pt idx="12">
                  <c:v>280.52999999999997</c:v>
                </c:pt>
                <c:pt idx="13">
                  <c:v>191.71</c:v>
                </c:pt>
                <c:pt idx="14">
                  <c:v>431.61</c:v>
                </c:pt>
                <c:pt idx="15">
                  <c:v>892.55</c:v>
                </c:pt>
                <c:pt idx="16">
                  <c:v>759.46</c:v>
                </c:pt>
                <c:pt idx="17">
                  <c:v>512.99</c:v>
                </c:pt>
                <c:pt idx="18">
                  <c:v>400.01</c:v>
                </c:pt>
                <c:pt idx="19">
                  <c:v>1659.22</c:v>
                </c:pt>
                <c:pt idx="20">
                  <c:v>1167.58</c:v>
                </c:pt>
                <c:pt idx="21">
                  <c:v>428.88</c:v>
                </c:pt>
                <c:pt idx="22">
                  <c:v>982.83</c:v>
                </c:pt>
                <c:pt idx="23">
                  <c:v>721.82</c:v>
                </c:pt>
                <c:pt idx="24">
                  <c:v>748.13</c:v>
                </c:pt>
                <c:pt idx="25">
                  <c:v>1069.21</c:v>
                </c:pt>
                <c:pt idx="26">
                  <c:v>236.95</c:v>
                </c:pt>
                <c:pt idx="27">
                  <c:v>774.95</c:v>
                </c:pt>
                <c:pt idx="28">
                  <c:v>1464.24</c:v>
                </c:pt>
                <c:pt idx="29">
                  <c:v>1797.72</c:v>
                </c:pt>
                <c:pt idx="30">
                  <c:v>2166.13</c:v>
                </c:pt>
                <c:pt idx="31">
                  <c:v>836.56</c:v>
                </c:pt>
                <c:pt idx="32">
                  <c:v>4397.78</c:v>
                </c:pt>
                <c:pt idx="33">
                  <c:v>1818.51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48-844B-A0E7-868BD3FB1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v>open interest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Jun_2026!$O$18:$O$51</c:f>
              <c:numCache>
                <c:formatCode>#,##0</c:formatCode>
                <c:ptCount val="34"/>
                <c:pt idx="0">
                  <c:v>51</c:v>
                </c:pt>
                <c:pt idx="1">
                  <c:v>61</c:v>
                </c:pt>
                <c:pt idx="2">
                  <c:v>1046.44</c:v>
                </c:pt>
                <c:pt idx="3">
                  <c:v>1314.48</c:v>
                </c:pt>
                <c:pt idx="4">
                  <c:v>1351.48</c:v>
                </c:pt>
                <c:pt idx="5">
                  <c:v>1477.04</c:v>
                </c:pt>
                <c:pt idx="6">
                  <c:v>1494.24</c:v>
                </c:pt>
                <c:pt idx="7">
                  <c:v>1506.46</c:v>
                </c:pt>
                <c:pt idx="8">
                  <c:v>2152.7600000000002</c:v>
                </c:pt>
                <c:pt idx="9">
                  <c:v>2427.1</c:v>
                </c:pt>
                <c:pt idx="10">
                  <c:v>2612.0100000000002</c:v>
                </c:pt>
                <c:pt idx="11">
                  <c:v>2617.11</c:v>
                </c:pt>
                <c:pt idx="12">
                  <c:v>2593.2800000000002</c:v>
                </c:pt>
                <c:pt idx="13">
                  <c:v>2623.13</c:v>
                </c:pt>
                <c:pt idx="14">
                  <c:v>2305.8200000000002</c:v>
                </c:pt>
                <c:pt idx="15">
                  <c:v>2904.85</c:v>
                </c:pt>
                <c:pt idx="16">
                  <c:v>3299.97</c:v>
                </c:pt>
                <c:pt idx="17">
                  <c:v>3446</c:v>
                </c:pt>
                <c:pt idx="18">
                  <c:v>3725.85</c:v>
                </c:pt>
                <c:pt idx="19">
                  <c:v>4880.9399999999996</c:v>
                </c:pt>
                <c:pt idx="20">
                  <c:v>4314.18</c:v>
                </c:pt>
                <c:pt idx="21">
                  <c:v>4604.09</c:v>
                </c:pt>
                <c:pt idx="22">
                  <c:v>4747.6099999999997</c:v>
                </c:pt>
                <c:pt idx="23">
                  <c:v>5434.68</c:v>
                </c:pt>
                <c:pt idx="24">
                  <c:v>5852.41</c:v>
                </c:pt>
                <c:pt idx="25">
                  <c:v>6391.79</c:v>
                </c:pt>
                <c:pt idx="26">
                  <c:v>6505.3</c:v>
                </c:pt>
                <c:pt idx="27">
                  <c:v>6708.46</c:v>
                </c:pt>
                <c:pt idx="28">
                  <c:v>6731.51</c:v>
                </c:pt>
                <c:pt idx="29">
                  <c:v>8045.86</c:v>
                </c:pt>
                <c:pt idx="30">
                  <c:v>8874.5300000000007</c:v>
                </c:pt>
                <c:pt idx="31">
                  <c:v>9529.0499999999993</c:v>
                </c:pt>
                <c:pt idx="32">
                  <c:v>10426.16</c:v>
                </c:pt>
                <c:pt idx="33">
                  <c:v>10493.42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48-844B-A0E7-868BD3FB1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Forecast error — Dev and Dev3 (spike tripwire, ±0.05)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Dev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Jun_2026!$A$18:$A$51</c:f>
              <c:strCache>
                <c:ptCount val="34"/>
                <c:pt idx="0">
                  <c:v>May 28</c:v>
                </c:pt>
                <c:pt idx="1">
                  <c:v>May 29</c:v>
                </c:pt>
                <c:pt idx="2">
                  <c:v>May 30</c:v>
                </c:pt>
                <c:pt idx="3">
                  <c:v>May 31</c:v>
                </c:pt>
                <c:pt idx="4">
                  <c:v>Jun 01</c:v>
                </c:pt>
                <c:pt idx="5">
                  <c:v>Jun 02</c:v>
                </c:pt>
                <c:pt idx="6">
                  <c:v>Jun 03</c:v>
                </c:pt>
                <c:pt idx="7">
                  <c:v>Jun 04</c:v>
                </c:pt>
                <c:pt idx="8">
                  <c:v>Jun 05</c:v>
                </c:pt>
                <c:pt idx="9">
                  <c:v>Jun 06</c:v>
                </c:pt>
                <c:pt idx="10">
                  <c:v>Jun 07</c:v>
                </c:pt>
                <c:pt idx="11">
                  <c:v>Jun 08</c:v>
                </c:pt>
                <c:pt idx="12">
                  <c:v>Jun 09</c:v>
                </c:pt>
                <c:pt idx="13">
                  <c:v>Jun 10</c:v>
                </c:pt>
                <c:pt idx="14">
                  <c:v>Jun 11</c:v>
                </c:pt>
                <c:pt idx="15">
                  <c:v>Jun 12</c:v>
                </c:pt>
                <c:pt idx="16">
                  <c:v>Jun 13</c:v>
                </c:pt>
                <c:pt idx="17">
                  <c:v>Jun 14</c:v>
                </c:pt>
                <c:pt idx="18">
                  <c:v>Jun 15</c:v>
                </c:pt>
                <c:pt idx="19">
                  <c:v>Jun 16</c:v>
                </c:pt>
                <c:pt idx="20">
                  <c:v>Jun 17</c:v>
                </c:pt>
                <c:pt idx="21">
                  <c:v>Jun 18</c:v>
                </c:pt>
                <c:pt idx="22">
                  <c:v>Jun 19</c:v>
                </c:pt>
                <c:pt idx="23">
                  <c:v>Jun 20</c:v>
                </c:pt>
                <c:pt idx="24">
                  <c:v>Jun 21</c:v>
                </c:pt>
                <c:pt idx="25">
                  <c:v>Jun 22</c:v>
                </c:pt>
                <c:pt idx="26">
                  <c:v>Jun 23</c:v>
                </c:pt>
                <c:pt idx="27">
                  <c:v>Jun 24</c:v>
                </c:pt>
                <c:pt idx="28">
                  <c:v>Jun 25</c:v>
                </c:pt>
                <c:pt idx="29">
                  <c:v>Jun 26</c:v>
                </c:pt>
                <c:pt idx="30">
                  <c:v>Jun 27</c:v>
                </c:pt>
                <c:pt idx="31">
                  <c:v>Jun 28</c:v>
                </c:pt>
                <c:pt idx="32">
                  <c:v>Jun 29</c:v>
                </c:pt>
                <c:pt idx="33">
                  <c:v>Jun 30</c:v>
                </c:pt>
              </c:strCache>
            </c:strRef>
          </c:cat>
          <c:val>
            <c:numRef>
              <c:f>Jun_2026!$D$18:$D$51</c:f>
              <c:numCache>
                <c:formatCode>\+0.000;\-0.000;0.000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8A-0441-84E3-7E7F92A950D3}"/>
            </c:ext>
          </c:extLst>
        </c:ser>
        <c:ser>
          <c:idx val="1"/>
          <c:order val="1"/>
          <c:tx>
            <c:v>Dev3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Jun_2026!$A$18:$A$51</c:f>
              <c:strCache>
                <c:ptCount val="34"/>
                <c:pt idx="0">
                  <c:v>May 28</c:v>
                </c:pt>
                <c:pt idx="1">
                  <c:v>May 29</c:v>
                </c:pt>
                <c:pt idx="2">
                  <c:v>May 30</c:v>
                </c:pt>
                <c:pt idx="3">
                  <c:v>May 31</c:v>
                </c:pt>
                <c:pt idx="4">
                  <c:v>Jun 01</c:v>
                </c:pt>
                <c:pt idx="5">
                  <c:v>Jun 02</c:v>
                </c:pt>
                <c:pt idx="6">
                  <c:v>Jun 03</c:v>
                </c:pt>
                <c:pt idx="7">
                  <c:v>Jun 04</c:v>
                </c:pt>
                <c:pt idx="8">
                  <c:v>Jun 05</c:v>
                </c:pt>
                <c:pt idx="9">
                  <c:v>Jun 06</c:v>
                </c:pt>
                <c:pt idx="10">
                  <c:v>Jun 07</c:v>
                </c:pt>
                <c:pt idx="11">
                  <c:v>Jun 08</c:v>
                </c:pt>
                <c:pt idx="12">
                  <c:v>Jun 09</c:v>
                </c:pt>
                <c:pt idx="13">
                  <c:v>Jun 10</c:v>
                </c:pt>
                <c:pt idx="14">
                  <c:v>Jun 11</c:v>
                </c:pt>
                <c:pt idx="15">
                  <c:v>Jun 12</c:v>
                </c:pt>
                <c:pt idx="16">
                  <c:v>Jun 13</c:v>
                </c:pt>
                <c:pt idx="17">
                  <c:v>Jun 14</c:v>
                </c:pt>
                <c:pt idx="18">
                  <c:v>Jun 15</c:v>
                </c:pt>
                <c:pt idx="19">
                  <c:v>Jun 16</c:v>
                </c:pt>
                <c:pt idx="20">
                  <c:v>Jun 17</c:v>
                </c:pt>
                <c:pt idx="21">
                  <c:v>Jun 18</c:v>
                </c:pt>
                <c:pt idx="22">
                  <c:v>Jun 19</c:v>
                </c:pt>
                <c:pt idx="23">
                  <c:v>Jun 20</c:v>
                </c:pt>
                <c:pt idx="24">
                  <c:v>Jun 21</c:v>
                </c:pt>
                <c:pt idx="25">
                  <c:v>Jun 22</c:v>
                </c:pt>
                <c:pt idx="26">
                  <c:v>Jun 23</c:v>
                </c:pt>
                <c:pt idx="27">
                  <c:v>Jun 24</c:v>
                </c:pt>
                <c:pt idx="28">
                  <c:v>Jun 25</c:v>
                </c:pt>
                <c:pt idx="29">
                  <c:v>Jun 26</c:v>
                </c:pt>
                <c:pt idx="30">
                  <c:v>Jun 27</c:v>
                </c:pt>
                <c:pt idx="31">
                  <c:v>Jun 28</c:v>
                </c:pt>
                <c:pt idx="32">
                  <c:v>Jun 29</c:v>
                </c:pt>
                <c:pt idx="33">
                  <c:v>Jun 30</c:v>
                </c:pt>
              </c:strCache>
            </c:strRef>
          </c:cat>
          <c:val>
            <c:numRef>
              <c:f>Jun_2026!$E$18:$E$51</c:f>
              <c:numCache>
                <c:formatCode>\+0.000;\-0.000;0.000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8A-0441-84E3-7E7F92A9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Month-to-date vs record pace — July 2026 (°C vs 1991–2020)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MTD mean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Jul_2026!$A$22:$A$52</c:f>
              <c:strCache>
                <c:ptCount val="31"/>
                <c:pt idx="0">
                  <c:v>Jul 01</c:v>
                </c:pt>
                <c:pt idx="1">
                  <c:v>Jul 02</c:v>
                </c:pt>
                <c:pt idx="2">
                  <c:v>Jul 03</c:v>
                </c:pt>
                <c:pt idx="3">
                  <c:v>Jul 04</c:v>
                </c:pt>
                <c:pt idx="4">
                  <c:v>Jul 05</c:v>
                </c:pt>
                <c:pt idx="5">
                  <c:v>Jul 06</c:v>
                </c:pt>
                <c:pt idx="6">
                  <c:v>Jul 07</c:v>
                </c:pt>
                <c:pt idx="7">
                  <c:v>Jul 08</c:v>
                </c:pt>
                <c:pt idx="8">
                  <c:v>Jul 09</c:v>
                </c:pt>
                <c:pt idx="9">
                  <c:v>Jul 10</c:v>
                </c:pt>
                <c:pt idx="10">
                  <c:v>Jul 11</c:v>
                </c:pt>
                <c:pt idx="11">
                  <c:v>Jul 12</c:v>
                </c:pt>
                <c:pt idx="12">
                  <c:v>Jul 13</c:v>
                </c:pt>
                <c:pt idx="13">
                  <c:v>Jul 14</c:v>
                </c:pt>
                <c:pt idx="14">
                  <c:v>Jul 15</c:v>
                </c:pt>
                <c:pt idx="15">
                  <c:v>Jul 16</c:v>
                </c:pt>
                <c:pt idx="16">
                  <c:v>Jul 17</c:v>
                </c:pt>
                <c:pt idx="17">
                  <c:v>Jul 18</c:v>
                </c:pt>
                <c:pt idx="18">
                  <c:v>Jul 19</c:v>
                </c:pt>
                <c:pt idx="19">
                  <c:v>Jul 20</c:v>
                </c:pt>
                <c:pt idx="20">
                  <c:v>Jul 21</c:v>
                </c:pt>
                <c:pt idx="21">
                  <c:v>Jul 22</c:v>
                </c:pt>
                <c:pt idx="22">
                  <c:v>Jul 23</c:v>
                </c:pt>
                <c:pt idx="23">
                  <c:v>Jul 24</c:v>
                </c:pt>
                <c:pt idx="24">
                  <c:v>Jul 25</c:v>
                </c:pt>
                <c:pt idx="25">
                  <c:v>Jul 26</c:v>
                </c:pt>
                <c:pt idx="26">
                  <c:v>Jul 27</c:v>
                </c:pt>
                <c:pt idx="27">
                  <c:v>Jul 28</c:v>
                </c:pt>
                <c:pt idx="28">
                  <c:v>Jul 29</c:v>
                </c:pt>
                <c:pt idx="29">
                  <c:v>Jul 30</c:v>
                </c:pt>
                <c:pt idx="30">
                  <c:v>Jul 31</c:v>
                </c:pt>
              </c:strCache>
            </c:strRef>
          </c:cat>
          <c:val>
            <c:numRef>
              <c:f>Jul_2026!$F$22:$F$52</c:f>
              <c:numCache>
                <c:formatCode>\+0.000;\-0.000;0.000</c:formatCode>
                <c:ptCount val="31"/>
                <c:pt idx="0">
                  <c:v>0.61699999999999999</c:v>
                </c:pt>
                <c:pt idx="1">
                  <c:v>0.62</c:v>
                </c:pt>
                <c:pt idx="2">
                  <c:v>0.61733333333333329</c:v>
                </c:pt>
                <c:pt idx="3">
                  <c:v>0.624</c:v>
                </c:pt>
                <c:pt idx="4">
                  <c:v>0.63900000000000001</c:v>
                </c:pt>
                <c:pt idx="5">
                  <c:v>0.64866666666666661</c:v>
                </c:pt>
                <c:pt idx="6">
                  <c:v>0.65314285714285714</c:v>
                </c:pt>
                <c:pt idx="7">
                  <c:v>0.66</c:v>
                </c:pt>
                <c:pt idx="8">
                  <c:v>0.6631111111111111</c:v>
                </c:pt>
                <c:pt idx="9">
                  <c:v>0.6573</c:v>
                </c:pt>
                <c:pt idx="10">
                  <c:v>0.64900000000000002</c:v>
                </c:pt>
                <c:pt idx="11">
                  <c:v>0.6382500000000001</c:v>
                </c:pt>
                <c:pt idx="12">
                  <c:v>0.62976923076923086</c:v>
                </c:pt>
                <c:pt idx="13">
                  <c:v>0.62478571428571439</c:v>
                </c:pt>
                <c:pt idx="14">
                  <c:v>0.62066666666666681</c:v>
                </c:pt>
                <c:pt idx="15">
                  <c:v>0.61762500000000009</c:v>
                </c:pt>
                <c:pt idx="16">
                  <c:v>0.61470588235294121</c:v>
                </c:pt>
                <c:pt idx="17">
                  <c:v>0.61383333333333345</c:v>
                </c:pt>
                <c:pt idx="18">
                  <c:v>0.61684210526315797</c:v>
                </c:pt>
                <c:pt idx="19">
                  <c:v>0.62425000000000008</c:v>
                </c:pt>
                <c:pt idx="20">
                  <c:v>0.63233333333333341</c:v>
                </c:pt>
                <c:pt idx="21">
                  <c:v>0.63918181818181818</c:v>
                </c:pt>
                <c:pt idx="22">
                  <c:v>0.64482608695652177</c:v>
                </c:pt>
                <c:pt idx="23">
                  <c:v>0.65087500000000009</c:v>
                </c:pt>
                <c:pt idx="24">
                  <c:v>0.65648000000000006</c:v>
                </c:pt>
                <c:pt idx="25">
                  <c:v>0.66153846153846163</c:v>
                </c:pt>
                <c:pt idx="26">
                  <c:v>0.66566666666666674</c:v>
                </c:pt>
                <c:pt idx="27">
                  <c:v>0.66860714285714296</c:v>
                </c:pt>
                <c:pt idx="28">
                  <c:v>0.66996551724137943</c:v>
                </c:pt>
                <c:pt idx="29">
                  <c:v>0.67040000000000011</c:v>
                </c:pt>
                <c:pt idx="30">
                  <c:v>0.67154838709677422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36-DA4B-873C-462EAA79702F}"/>
            </c:ext>
          </c:extLst>
        </c:ser>
        <c:ser>
          <c:idx val="1"/>
          <c:order val="1"/>
          <c:tx>
            <c:v>2024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Jul_2026!$A$22:$A$52</c:f>
              <c:strCache>
                <c:ptCount val="31"/>
                <c:pt idx="0">
                  <c:v>Jul 01</c:v>
                </c:pt>
                <c:pt idx="1">
                  <c:v>Jul 02</c:v>
                </c:pt>
                <c:pt idx="2">
                  <c:v>Jul 03</c:v>
                </c:pt>
                <c:pt idx="3">
                  <c:v>Jul 04</c:v>
                </c:pt>
                <c:pt idx="4">
                  <c:v>Jul 05</c:v>
                </c:pt>
                <c:pt idx="5">
                  <c:v>Jul 06</c:v>
                </c:pt>
                <c:pt idx="6">
                  <c:v>Jul 07</c:v>
                </c:pt>
                <c:pt idx="7">
                  <c:v>Jul 08</c:v>
                </c:pt>
                <c:pt idx="8">
                  <c:v>Jul 09</c:v>
                </c:pt>
                <c:pt idx="9">
                  <c:v>Jul 10</c:v>
                </c:pt>
                <c:pt idx="10">
                  <c:v>Jul 11</c:v>
                </c:pt>
                <c:pt idx="11">
                  <c:v>Jul 12</c:v>
                </c:pt>
                <c:pt idx="12">
                  <c:v>Jul 13</c:v>
                </c:pt>
                <c:pt idx="13">
                  <c:v>Jul 14</c:v>
                </c:pt>
                <c:pt idx="14">
                  <c:v>Jul 15</c:v>
                </c:pt>
                <c:pt idx="15">
                  <c:v>Jul 16</c:v>
                </c:pt>
                <c:pt idx="16">
                  <c:v>Jul 17</c:v>
                </c:pt>
                <c:pt idx="17">
                  <c:v>Jul 18</c:v>
                </c:pt>
                <c:pt idx="18">
                  <c:v>Jul 19</c:v>
                </c:pt>
                <c:pt idx="19">
                  <c:v>Jul 20</c:v>
                </c:pt>
                <c:pt idx="20">
                  <c:v>Jul 21</c:v>
                </c:pt>
                <c:pt idx="21">
                  <c:v>Jul 22</c:v>
                </c:pt>
                <c:pt idx="22">
                  <c:v>Jul 23</c:v>
                </c:pt>
                <c:pt idx="23">
                  <c:v>Jul 24</c:v>
                </c:pt>
                <c:pt idx="24">
                  <c:v>Jul 25</c:v>
                </c:pt>
                <c:pt idx="25">
                  <c:v>Jul 26</c:v>
                </c:pt>
                <c:pt idx="26">
                  <c:v>Jul 27</c:v>
                </c:pt>
                <c:pt idx="27">
                  <c:v>Jul 28</c:v>
                </c:pt>
                <c:pt idx="28">
                  <c:v>Jul 29</c:v>
                </c:pt>
                <c:pt idx="29">
                  <c:v>Jul 30</c:v>
                </c:pt>
                <c:pt idx="30">
                  <c:v>Jul 31</c:v>
                </c:pt>
              </c:strCache>
            </c:strRef>
          </c:cat>
          <c:val>
            <c:numRef>
              <c:f>Jul_2026!$G$22:$G$52</c:f>
              <c:numCache>
                <c:formatCode>\+0.000;\-0.000;0.000</c:formatCode>
                <c:ptCount val="31"/>
                <c:pt idx="0">
                  <c:v>0.58199999999999996</c:v>
                </c:pt>
                <c:pt idx="1">
                  <c:v>0.56200000000000006</c:v>
                </c:pt>
                <c:pt idx="2">
                  <c:v>0.56499999999999995</c:v>
                </c:pt>
                <c:pt idx="3">
                  <c:v>0.5655</c:v>
                </c:pt>
                <c:pt idx="4">
                  <c:v>0.56299999999999994</c:v>
                </c:pt>
                <c:pt idx="5">
                  <c:v>0.55379999999999996</c:v>
                </c:pt>
                <c:pt idx="6">
                  <c:v>0.5494</c:v>
                </c:pt>
                <c:pt idx="7">
                  <c:v>0.55349999999999999</c:v>
                </c:pt>
                <c:pt idx="8">
                  <c:v>0.56200000000000006</c:v>
                </c:pt>
                <c:pt idx="9">
                  <c:v>0.57330000000000003</c:v>
                </c:pt>
                <c:pt idx="10">
                  <c:v>0.58160000000000001</c:v>
                </c:pt>
                <c:pt idx="11">
                  <c:v>0.58220000000000005</c:v>
                </c:pt>
                <c:pt idx="12">
                  <c:v>0.58020000000000005</c:v>
                </c:pt>
                <c:pt idx="13">
                  <c:v>0.57640000000000002</c:v>
                </c:pt>
                <c:pt idx="14">
                  <c:v>0.57330000000000003</c:v>
                </c:pt>
                <c:pt idx="15">
                  <c:v>0.57379999999999998</c:v>
                </c:pt>
                <c:pt idx="16">
                  <c:v>0.57940000000000003</c:v>
                </c:pt>
                <c:pt idx="17">
                  <c:v>0.58989999999999998</c:v>
                </c:pt>
                <c:pt idx="18">
                  <c:v>0.60119999999999996</c:v>
                </c:pt>
                <c:pt idx="19">
                  <c:v>0.61040000000000005</c:v>
                </c:pt>
                <c:pt idx="20">
                  <c:v>0.62160000000000004</c:v>
                </c:pt>
                <c:pt idx="21">
                  <c:v>0.63449999999999995</c:v>
                </c:pt>
                <c:pt idx="22">
                  <c:v>0.64600000000000002</c:v>
                </c:pt>
                <c:pt idx="23">
                  <c:v>0.65429999999999999</c:v>
                </c:pt>
                <c:pt idx="24">
                  <c:v>0.66049999999999998</c:v>
                </c:pt>
                <c:pt idx="25">
                  <c:v>0.66590000000000005</c:v>
                </c:pt>
                <c:pt idx="26">
                  <c:v>0.67169999999999996</c:v>
                </c:pt>
                <c:pt idx="27">
                  <c:v>0.67589999999999995</c:v>
                </c:pt>
                <c:pt idx="28">
                  <c:v>0.6784</c:v>
                </c:pt>
                <c:pt idx="29">
                  <c:v>0.67979999999999996</c:v>
                </c:pt>
                <c:pt idx="30">
                  <c:v>0.68110000000000004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36-DA4B-873C-462EAA79702F}"/>
            </c:ext>
          </c:extLst>
        </c:ser>
        <c:ser>
          <c:idx val="2"/>
          <c:order val="2"/>
          <c:tx>
            <c:v>2023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Jul_2026!$A$22:$A$52</c:f>
              <c:strCache>
                <c:ptCount val="31"/>
                <c:pt idx="0">
                  <c:v>Jul 01</c:v>
                </c:pt>
                <c:pt idx="1">
                  <c:v>Jul 02</c:v>
                </c:pt>
                <c:pt idx="2">
                  <c:v>Jul 03</c:v>
                </c:pt>
                <c:pt idx="3">
                  <c:v>Jul 04</c:v>
                </c:pt>
                <c:pt idx="4">
                  <c:v>Jul 05</c:v>
                </c:pt>
                <c:pt idx="5">
                  <c:v>Jul 06</c:v>
                </c:pt>
                <c:pt idx="6">
                  <c:v>Jul 07</c:v>
                </c:pt>
                <c:pt idx="7">
                  <c:v>Jul 08</c:v>
                </c:pt>
                <c:pt idx="8">
                  <c:v>Jul 09</c:v>
                </c:pt>
                <c:pt idx="9">
                  <c:v>Jul 10</c:v>
                </c:pt>
                <c:pt idx="10">
                  <c:v>Jul 11</c:v>
                </c:pt>
                <c:pt idx="11">
                  <c:v>Jul 12</c:v>
                </c:pt>
                <c:pt idx="12">
                  <c:v>Jul 13</c:v>
                </c:pt>
                <c:pt idx="13">
                  <c:v>Jul 14</c:v>
                </c:pt>
                <c:pt idx="14">
                  <c:v>Jul 15</c:v>
                </c:pt>
                <c:pt idx="15">
                  <c:v>Jul 16</c:v>
                </c:pt>
                <c:pt idx="16">
                  <c:v>Jul 17</c:v>
                </c:pt>
                <c:pt idx="17">
                  <c:v>Jul 18</c:v>
                </c:pt>
                <c:pt idx="18">
                  <c:v>Jul 19</c:v>
                </c:pt>
                <c:pt idx="19">
                  <c:v>Jul 20</c:v>
                </c:pt>
                <c:pt idx="20">
                  <c:v>Jul 21</c:v>
                </c:pt>
                <c:pt idx="21">
                  <c:v>Jul 22</c:v>
                </c:pt>
                <c:pt idx="22">
                  <c:v>Jul 23</c:v>
                </c:pt>
                <c:pt idx="23">
                  <c:v>Jul 24</c:v>
                </c:pt>
                <c:pt idx="24">
                  <c:v>Jul 25</c:v>
                </c:pt>
                <c:pt idx="25">
                  <c:v>Jul 26</c:v>
                </c:pt>
                <c:pt idx="26">
                  <c:v>Jul 27</c:v>
                </c:pt>
                <c:pt idx="27">
                  <c:v>Jul 28</c:v>
                </c:pt>
                <c:pt idx="28">
                  <c:v>Jul 29</c:v>
                </c:pt>
                <c:pt idx="29">
                  <c:v>Jul 30</c:v>
                </c:pt>
                <c:pt idx="30">
                  <c:v>Jul 31</c:v>
                </c:pt>
              </c:strCache>
            </c:strRef>
          </c:cat>
          <c:val>
            <c:numRef>
              <c:f>Jul_2026!$H$22:$H$52</c:f>
              <c:numCache>
                <c:formatCode>\+0.000;\-0.000;0.000</c:formatCode>
                <c:ptCount val="31"/>
                <c:pt idx="0">
                  <c:v>0.39900000000000002</c:v>
                </c:pt>
                <c:pt idx="1">
                  <c:v>0.45200000000000001</c:v>
                </c:pt>
                <c:pt idx="2">
                  <c:v>0.53600000000000003</c:v>
                </c:pt>
                <c:pt idx="3">
                  <c:v>0.61580000000000001</c:v>
                </c:pt>
                <c:pt idx="4">
                  <c:v>0.66579999999999995</c:v>
                </c:pt>
                <c:pt idx="5">
                  <c:v>0.70230000000000004</c:v>
                </c:pt>
                <c:pt idx="6">
                  <c:v>0.72589999999999999</c:v>
                </c:pt>
                <c:pt idx="7">
                  <c:v>0.74</c:v>
                </c:pt>
                <c:pt idx="8">
                  <c:v>0.74960000000000004</c:v>
                </c:pt>
                <c:pt idx="9">
                  <c:v>0.75680000000000003</c:v>
                </c:pt>
                <c:pt idx="10">
                  <c:v>0.75770000000000004</c:v>
                </c:pt>
                <c:pt idx="11">
                  <c:v>0.75419999999999998</c:v>
                </c:pt>
                <c:pt idx="12">
                  <c:v>0.74529999999999996</c:v>
                </c:pt>
                <c:pt idx="13">
                  <c:v>0.73540000000000005</c:v>
                </c:pt>
                <c:pt idx="14">
                  <c:v>0.72909999999999997</c:v>
                </c:pt>
                <c:pt idx="15">
                  <c:v>0.72609999999999997</c:v>
                </c:pt>
                <c:pt idx="16">
                  <c:v>0.72619999999999996</c:v>
                </c:pt>
                <c:pt idx="17">
                  <c:v>0.72819999999999996</c:v>
                </c:pt>
                <c:pt idx="18">
                  <c:v>0.72970000000000002</c:v>
                </c:pt>
                <c:pt idx="19">
                  <c:v>0.73060000000000003</c:v>
                </c:pt>
                <c:pt idx="20">
                  <c:v>0.73089999999999999</c:v>
                </c:pt>
                <c:pt idx="21">
                  <c:v>0.73089999999999999</c:v>
                </c:pt>
                <c:pt idx="22">
                  <c:v>0.73029999999999995</c:v>
                </c:pt>
                <c:pt idx="23">
                  <c:v>0.72950000000000004</c:v>
                </c:pt>
                <c:pt idx="24">
                  <c:v>0.72929999999999995</c:v>
                </c:pt>
                <c:pt idx="25">
                  <c:v>0.73019999999999996</c:v>
                </c:pt>
                <c:pt idx="26">
                  <c:v>0.73029999999999995</c:v>
                </c:pt>
                <c:pt idx="27">
                  <c:v>0.72950000000000004</c:v>
                </c:pt>
                <c:pt idx="28">
                  <c:v>0.72799999999999998</c:v>
                </c:pt>
                <c:pt idx="29">
                  <c:v>0.7268</c:v>
                </c:pt>
                <c:pt idx="30">
                  <c:v>0.72489999999999999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36-DA4B-873C-462EAA79702F}"/>
            </c:ext>
          </c:extLst>
        </c:ser>
        <c:ser>
          <c:idx val="3"/>
          <c:order val="3"/>
          <c:tx>
            <c:v>record pace +0.693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Jul_2026!$A$22:$A$52</c:f>
              <c:strCache>
                <c:ptCount val="31"/>
                <c:pt idx="0">
                  <c:v>Jul 01</c:v>
                </c:pt>
                <c:pt idx="1">
                  <c:v>Jul 02</c:v>
                </c:pt>
                <c:pt idx="2">
                  <c:v>Jul 03</c:v>
                </c:pt>
                <c:pt idx="3">
                  <c:v>Jul 04</c:v>
                </c:pt>
                <c:pt idx="4">
                  <c:v>Jul 05</c:v>
                </c:pt>
                <c:pt idx="5">
                  <c:v>Jul 06</c:v>
                </c:pt>
                <c:pt idx="6">
                  <c:v>Jul 07</c:v>
                </c:pt>
                <c:pt idx="7">
                  <c:v>Jul 08</c:v>
                </c:pt>
                <c:pt idx="8">
                  <c:v>Jul 09</c:v>
                </c:pt>
                <c:pt idx="9">
                  <c:v>Jul 10</c:v>
                </c:pt>
                <c:pt idx="10">
                  <c:v>Jul 11</c:v>
                </c:pt>
                <c:pt idx="11">
                  <c:v>Jul 12</c:v>
                </c:pt>
                <c:pt idx="12">
                  <c:v>Jul 13</c:v>
                </c:pt>
                <c:pt idx="13">
                  <c:v>Jul 14</c:v>
                </c:pt>
                <c:pt idx="14">
                  <c:v>Jul 15</c:v>
                </c:pt>
                <c:pt idx="15">
                  <c:v>Jul 16</c:v>
                </c:pt>
                <c:pt idx="16">
                  <c:v>Jul 17</c:v>
                </c:pt>
                <c:pt idx="17">
                  <c:v>Jul 18</c:v>
                </c:pt>
                <c:pt idx="18">
                  <c:v>Jul 19</c:v>
                </c:pt>
                <c:pt idx="19">
                  <c:v>Jul 20</c:v>
                </c:pt>
                <c:pt idx="20">
                  <c:v>Jul 21</c:v>
                </c:pt>
                <c:pt idx="21">
                  <c:v>Jul 22</c:v>
                </c:pt>
                <c:pt idx="22">
                  <c:v>Jul 23</c:v>
                </c:pt>
                <c:pt idx="23">
                  <c:v>Jul 24</c:v>
                </c:pt>
                <c:pt idx="24">
                  <c:v>Jul 25</c:v>
                </c:pt>
                <c:pt idx="25">
                  <c:v>Jul 26</c:v>
                </c:pt>
                <c:pt idx="26">
                  <c:v>Jul 27</c:v>
                </c:pt>
                <c:pt idx="27">
                  <c:v>Jul 28</c:v>
                </c:pt>
                <c:pt idx="28">
                  <c:v>Jul 29</c:v>
                </c:pt>
                <c:pt idx="29">
                  <c:v>Jul 30</c:v>
                </c:pt>
                <c:pt idx="30">
                  <c:v>Jul 31</c:v>
                </c:pt>
              </c:strCache>
            </c:strRef>
          </c:cat>
          <c:val>
            <c:numRef>
              <c:f>Jul_2026!$R$22:$R$52</c:f>
              <c:numCache>
                <c:formatCode>\+0.000;\-0.000;0.000</c:formatCode>
                <c:ptCount val="31"/>
                <c:pt idx="0">
                  <c:v>0.69328534473062653</c:v>
                </c:pt>
                <c:pt idx="1">
                  <c:v>0.69328534473062653</c:v>
                </c:pt>
                <c:pt idx="2">
                  <c:v>0.69328534473062653</c:v>
                </c:pt>
                <c:pt idx="3">
                  <c:v>0.69328534473062653</c:v>
                </c:pt>
                <c:pt idx="4">
                  <c:v>0.69328534473062653</c:v>
                </c:pt>
                <c:pt idx="5">
                  <c:v>0.69328534473062653</c:v>
                </c:pt>
                <c:pt idx="6">
                  <c:v>0.69328534473062653</c:v>
                </c:pt>
                <c:pt idx="7">
                  <c:v>0.69328534473062653</c:v>
                </c:pt>
                <c:pt idx="8">
                  <c:v>0.69328534473062653</c:v>
                </c:pt>
                <c:pt idx="9">
                  <c:v>0.69328534473062653</c:v>
                </c:pt>
                <c:pt idx="10">
                  <c:v>0.69328534473062653</c:v>
                </c:pt>
                <c:pt idx="11">
                  <c:v>0.69328534473062653</c:v>
                </c:pt>
                <c:pt idx="12">
                  <c:v>0.69328534473062653</c:v>
                </c:pt>
                <c:pt idx="13">
                  <c:v>0.69328534473062653</c:v>
                </c:pt>
                <c:pt idx="14">
                  <c:v>0.69328534473062653</c:v>
                </c:pt>
                <c:pt idx="15">
                  <c:v>0.69328534473062653</c:v>
                </c:pt>
                <c:pt idx="16">
                  <c:v>0.69328534473062653</c:v>
                </c:pt>
                <c:pt idx="17">
                  <c:v>0.69328534473062653</c:v>
                </c:pt>
                <c:pt idx="18">
                  <c:v>0.69328534473062653</c:v>
                </c:pt>
                <c:pt idx="19">
                  <c:v>0.69328534473062653</c:v>
                </c:pt>
                <c:pt idx="20">
                  <c:v>0.69328534473062653</c:v>
                </c:pt>
                <c:pt idx="21">
                  <c:v>0.69328534473062653</c:v>
                </c:pt>
                <c:pt idx="22">
                  <c:v>0.69328534473062653</c:v>
                </c:pt>
                <c:pt idx="23">
                  <c:v>0.69328534473062653</c:v>
                </c:pt>
                <c:pt idx="24">
                  <c:v>0.69328534473062653</c:v>
                </c:pt>
                <c:pt idx="25">
                  <c:v>0.69328534473062653</c:v>
                </c:pt>
                <c:pt idx="26">
                  <c:v>0.69328534473062653</c:v>
                </c:pt>
                <c:pt idx="27">
                  <c:v>0.69328534473062653</c:v>
                </c:pt>
                <c:pt idx="28">
                  <c:v>0.69328534473062653</c:v>
                </c:pt>
                <c:pt idx="29">
                  <c:v>0.69328534473062653</c:v>
                </c:pt>
                <c:pt idx="30">
                  <c:v>0.69328534473062653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36-DA4B-873C-462EAA797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Model vs market — YES in cents (gap = edge)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model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Jul_2026!$A$18:$A$52</c:f>
              <c:strCache>
                <c:ptCount val="35"/>
                <c:pt idx="0">
                  <c:v>Jun 27</c:v>
                </c:pt>
                <c:pt idx="1">
                  <c:v>Jun 28</c:v>
                </c:pt>
                <c:pt idx="2">
                  <c:v>Jun 29</c:v>
                </c:pt>
                <c:pt idx="3">
                  <c:v>Jun 30</c:v>
                </c:pt>
                <c:pt idx="4">
                  <c:v>Jul 01</c:v>
                </c:pt>
                <c:pt idx="5">
                  <c:v>Jul 02</c:v>
                </c:pt>
                <c:pt idx="6">
                  <c:v>Jul 03</c:v>
                </c:pt>
                <c:pt idx="7">
                  <c:v>Jul 04</c:v>
                </c:pt>
                <c:pt idx="8">
                  <c:v>Jul 05</c:v>
                </c:pt>
                <c:pt idx="9">
                  <c:v>Jul 06</c:v>
                </c:pt>
                <c:pt idx="10">
                  <c:v>Jul 07</c:v>
                </c:pt>
                <c:pt idx="11">
                  <c:v>Jul 08</c:v>
                </c:pt>
                <c:pt idx="12">
                  <c:v>Jul 09</c:v>
                </c:pt>
                <c:pt idx="13">
                  <c:v>Jul 10</c:v>
                </c:pt>
                <c:pt idx="14">
                  <c:v>Jul 11</c:v>
                </c:pt>
                <c:pt idx="15">
                  <c:v>Jul 12</c:v>
                </c:pt>
                <c:pt idx="16">
                  <c:v>Jul 13</c:v>
                </c:pt>
                <c:pt idx="17">
                  <c:v>Jul 14</c:v>
                </c:pt>
                <c:pt idx="18">
                  <c:v>Jul 15</c:v>
                </c:pt>
                <c:pt idx="19">
                  <c:v>Jul 16</c:v>
                </c:pt>
                <c:pt idx="20">
                  <c:v>Jul 17</c:v>
                </c:pt>
                <c:pt idx="21">
                  <c:v>Jul 18</c:v>
                </c:pt>
                <c:pt idx="22">
                  <c:v>Jul 19</c:v>
                </c:pt>
                <c:pt idx="23">
                  <c:v>Jul 20</c:v>
                </c:pt>
                <c:pt idx="24">
                  <c:v>Jul 21</c:v>
                </c:pt>
                <c:pt idx="25">
                  <c:v>Jul 22</c:v>
                </c:pt>
                <c:pt idx="26">
                  <c:v>Jul 23</c:v>
                </c:pt>
                <c:pt idx="27">
                  <c:v>Jul 24</c:v>
                </c:pt>
                <c:pt idx="28">
                  <c:v>Jul 25</c:v>
                </c:pt>
                <c:pt idx="29">
                  <c:v>Jul 26</c:v>
                </c:pt>
                <c:pt idx="30">
                  <c:v>Jul 27</c:v>
                </c:pt>
                <c:pt idx="31">
                  <c:v>Jul 28</c:v>
                </c:pt>
                <c:pt idx="32">
                  <c:v>Jul 29</c:v>
                </c:pt>
                <c:pt idx="33">
                  <c:v>Jul 30</c:v>
                </c:pt>
                <c:pt idx="34">
                  <c:v>Jul 31</c:v>
                </c:pt>
              </c:strCache>
            </c:strRef>
          </c:cat>
          <c:val>
            <c:numRef>
              <c:f>Jul_2026!$S$18:$S$52</c:f>
              <c:numCache>
                <c:formatCode>0.0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5.5100871196034351E-2</c:v>
                </c:pt>
                <c:pt idx="5">
                  <c:v>6.5827322919020936E-2</c:v>
                </c:pt>
                <c:pt idx="6">
                  <c:v>7.6124291889712037E-2</c:v>
                </c:pt>
                <c:pt idx="7">
                  <c:v>9.5822415760249413E-2</c:v>
                </c:pt>
                <c:pt idx="8">
                  <c:v>0.1387657113471219</c:v>
                </c:pt>
                <c:pt idx="9">
                  <c:v>0.19765289427640109</c:v>
                </c:pt>
                <c:pt idx="10">
                  <c:v>0.26704184846498835</c:v>
                </c:pt>
                <c:pt idx="11">
                  <c:v>0.38236615090313508</c:v>
                </c:pt>
                <c:pt idx="12">
                  <c:v>0.51629038286410411</c:v>
                </c:pt>
                <c:pt idx="13">
                  <c:v>0.57305745557238996</c:v>
                </c:pt>
                <c:pt idx="14">
                  <c:v>0.58182980941454687</c:v>
                </c:pt>
                <c:pt idx="15">
                  <c:v>0.53202777223886333</c:v>
                </c:pt>
                <c:pt idx="16">
                  <c:v>0.49511407931149831</c:v>
                </c:pt>
                <c:pt idx="17">
                  <c:v>0.49591402107501681</c:v>
                </c:pt>
                <c:pt idx="18">
                  <c:v>0.50016144208998581</c:v>
                </c:pt>
                <c:pt idx="19">
                  <c:v>0.51498797003359797</c:v>
                </c:pt>
                <c:pt idx="20">
                  <c:v>0.52536924360314652</c:v>
                </c:pt>
                <c:pt idx="21">
                  <c:v>0.57514160791144464</c:v>
                </c:pt>
                <c:pt idx="22">
                  <c:v>0.73833539644212465</c:v>
                </c:pt>
                <c:pt idx="23">
                  <c:v>1.147780688097555</c:v>
                </c:pt>
                <c:pt idx="24">
                  <c:v>1.8435450765378336</c:v>
                </c:pt>
                <c:pt idx="25">
                  <c:v>2.8132830053186453</c:v>
                </c:pt>
                <c:pt idx="26">
                  <c:v>4.0762308633664031</c:v>
                </c:pt>
                <c:pt idx="27">
                  <c:v>5.9603297394256067</c:v>
                </c:pt>
                <c:pt idx="28">
                  <c:v>8.4795276583898733</c:v>
                </c:pt>
                <c:pt idx="29">
                  <c:v>11.676421595938201</c:v>
                </c:pt>
                <c:pt idx="30">
                  <c:v>15.36112616647104</c:v>
                </c:pt>
                <c:pt idx="31">
                  <c:v>19.194998220746118</c:v>
                </c:pt>
                <c:pt idx="32">
                  <c:v>22.594555937074357</c:v>
                </c:pt>
                <c:pt idx="33">
                  <c:v>25.664736363579756</c:v>
                </c:pt>
                <c:pt idx="34">
                  <c:v>29.568821525418343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2-7B43-8C73-41A62F7A03D4}"/>
            </c:ext>
          </c:extLst>
        </c:ser>
        <c:ser>
          <c:idx val="1"/>
          <c:order val="1"/>
          <c:tx>
            <c:v>market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Jul_2026!$A$18:$A$52</c:f>
              <c:strCache>
                <c:ptCount val="35"/>
                <c:pt idx="0">
                  <c:v>Jun 27</c:v>
                </c:pt>
                <c:pt idx="1">
                  <c:v>Jun 28</c:v>
                </c:pt>
                <c:pt idx="2">
                  <c:v>Jun 29</c:v>
                </c:pt>
                <c:pt idx="3">
                  <c:v>Jun 30</c:v>
                </c:pt>
                <c:pt idx="4">
                  <c:v>Jul 01</c:v>
                </c:pt>
                <c:pt idx="5">
                  <c:v>Jul 02</c:v>
                </c:pt>
                <c:pt idx="6">
                  <c:v>Jul 03</c:v>
                </c:pt>
                <c:pt idx="7">
                  <c:v>Jul 04</c:v>
                </c:pt>
                <c:pt idx="8">
                  <c:v>Jul 05</c:v>
                </c:pt>
                <c:pt idx="9">
                  <c:v>Jul 06</c:v>
                </c:pt>
                <c:pt idx="10">
                  <c:v>Jul 07</c:v>
                </c:pt>
                <c:pt idx="11">
                  <c:v>Jul 08</c:v>
                </c:pt>
                <c:pt idx="12">
                  <c:v>Jul 09</c:v>
                </c:pt>
                <c:pt idx="13">
                  <c:v>Jul 10</c:v>
                </c:pt>
                <c:pt idx="14">
                  <c:v>Jul 11</c:v>
                </c:pt>
                <c:pt idx="15">
                  <c:v>Jul 12</c:v>
                </c:pt>
                <c:pt idx="16">
                  <c:v>Jul 13</c:v>
                </c:pt>
                <c:pt idx="17">
                  <c:v>Jul 14</c:v>
                </c:pt>
                <c:pt idx="18">
                  <c:v>Jul 15</c:v>
                </c:pt>
                <c:pt idx="19">
                  <c:v>Jul 16</c:v>
                </c:pt>
                <c:pt idx="20">
                  <c:v>Jul 17</c:v>
                </c:pt>
                <c:pt idx="21">
                  <c:v>Jul 18</c:v>
                </c:pt>
                <c:pt idx="22">
                  <c:v>Jul 19</c:v>
                </c:pt>
                <c:pt idx="23">
                  <c:v>Jul 20</c:v>
                </c:pt>
                <c:pt idx="24">
                  <c:v>Jul 21</c:v>
                </c:pt>
                <c:pt idx="25">
                  <c:v>Jul 22</c:v>
                </c:pt>
                <c:pt idx="26">
                  <c:v>Jul 23</c:v>
                </c:pt>
                <c:pt idx="27">
                  <c:v>Jul 24</c:v>
                </c:pt>
                <c:pt idx="28">
                  <c:v>Jul 25</c:v>
                </c:pt>
                <c:pt idx="29">
                  <c:v>Jul 26</c:v>
                </c:pt>
                <c:pt idx="30">
                  <c:v>Jul 27</c:v>
                </c:pt>
                <c:pt idx="31">
                  <c:v>Jul 28</c:v>
                </c:pt>
                <c:pt idx="32">
                  <c:v>Jul 29</c:v>
                </c:pt>
                <c:pt idx="33">
                  <c:v>Jul 30</c:v>
                </c:pt>
                <c:pt idx="34">
                  <c:v>Jul 31</c:v>
                </c:pt>
              </c:strCache>
            </c:strRef>
          </c:cat>
          <c:val>
            <c:numRef>
              <c:f>Jul_2026!$L$18:$L$52</c:f>
              <c:numCache>
                <c:formatCode>0.0</c:formatCode>
                <c:ptCount val="35"/>
                <c:pt idx="1">
                  <c:v>7</c:v>
                </c:pt>
                <c:pt idx="2">
                  <c:v>25</c:v>
                </c:pt>
                <c:pt idx="3">
                  <c:v>24</c:v>
                </c:pt>
                <c:pt idx="4">
                  <c:v>14</c:v>
                </c:pt>
                <c:pt idx="5">
                  <c:v>18</c:v>
                </c:pt>
                <c:pt idx="6">
                  <c:v>18</c:v>
                </c:pt>
                <c:pt idx="7">
                  <c:v>21</c:v>
                </c:pt>
                <c:pt idx="8">
                  <c:v>19</c:v>
                </c:pt>
                <c:pt idx="9">
                  <c:v>21</c:v>
                </c:pt>
                <c:pt idx="10">
                  <c:v>16</c:v>
                </c:pt>
                <c:pt idx="11">
                  <c:v>16</c:v>
                </c:pt>
                <c:pt idx="12">
                  <c:v>22</c:v>
                </c:pt>
                <c:pt idx="13">
                  <c:v>24</c:v>
                </c:pt>
                <c:pt idx="14">
                  <c:v>24</c:v>
                </c:pt>
                <c:pt idx="15">
                  <c:v>21</c:v>
                </c:pt>
                <c:pt idx="16">
                  <c:v>20</c:v>
                </c:pt>
                <c:pt idx="17">
                  <c:v>27</c:v>
                </c:pt>
                <c:pt idx="18">
                  <c:v>23</c:v>
                </c:pt>
                <c:pt idx="19">
                  <c:v>22</c:v>
                </c:pt>
                <c:pt idx="20">
                  <c:v>26</c:v>
                </c:pt>
                <c:pt idx="21">
                  <c:v>32</c:v>
                </c:pt>
                <c:pt idx="22">
                  <c:v>27</c:v>
                </c:pt>
                <c:pt idx="23">
                  <c:v>21</c:v>
                </c:pt>
                <c:pt idx="24">
                  <c:v>20</c:v>
                </c:pt>
                <c:pt idx="25">
                  <c:v>21</c:v>
                </c:pt>
                <c:pt idx="26">
                  <c:v>33</c:v>
                </c:pt>
                <c:pt idx="27">
                  <c:v>21</c:v>
                </c:pt>
                <c:pt idx="28">
                  <c:v>23</c:v>
                </c:pt>
                <c:pt idx="29">
                  <c:v>22</c:v>
                </c:pt>
                <c:pt idx="30">
                  <c:v>22</c:v>
                </c:pt>
                <c:pt idx="31">
                  <c:v>29</c:v>
                </c:pt>
                <c:pt idx="32">
                  <c:v>31</c:v>
                </c:pt>
                <c:pt idx="33">
                  <c:v>26</c:v>
                </c:pt>
                <c:pt idx="34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12-7B43-8C73-41A62F7A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Volume and open interest — KXHMONTH-26JUL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volume</c:v>
          </c:tx>
          <c:spPr>
            <a:ln>
              <a:prstDash val="solid"/>
            </a:ln>
          </c:spPr>
          <c:invertIfNegative val="1"/>
          <c:cat>
            <c:strRef>
              <c:f>Jul_2026!$A$18:$A$52</c:f>
              <c:strCache>
                <c:ptCount val="35"/>
                <c:pt idx="0">
                  <c:v>Jun 27</c:v>
                </c:pt>
                <c:pt idx="1">
                  <c:v>Jun 28</c:v>
                </c:pt>
                <c:pt idx="2">
                  <c:v>Jun 29</c:v>
                </c:pt>
                <c:pt idx="3">
                  <c:v>Jun 30</c:v>
                </c:pt>
                <c:pt idx="4">
                  <c:v>Jul 01</c:v>
                </c:pt>
                <c:pt idx="5">
                  <c:v>Jul 02</c:v>
                </c:pt>
                <c:pt idx="6">
                  <c:v>Jul 03</c:v>
                </c:pt>
                <c:pt idx="7">
                  <c:v>Jul 04</c:v>
                </c:pt>
                <c:pt idx="8">
                  <c:v>Jul 05</c:v>
                </c:pt>
                <c:pt idx="9">
                  <c:v>Jul 06</c:v>
                </c:pt>
                <c:pt idx="10">
                  <c:v>Jul 07</c:v>
                </c:pt>
                <c:pt idx="11">
                  <c:v>Jul 08</c:v>
                </c:pt>
                <c:pt idx="12">
                  <c:v>Jul 09</c:v>
                </c:pt>
                <c:pt idx="13">
                  <c:v>Jul 10</c:v>
                </c:pt>
                <c:pt idx="14">
                  <c:v>Jul 11</c:v>
                </c:pt>
                <c:pt idx="15">
                  <c:v>Jul 12</c:v>
                </c:pt>
                <c:pt idx="16">
                  <c:v>Jul 13</c:v>
                </c:pt>
                <c:pt idx="17">
                  <c:v>Jul 14</c:v>
                </c:pt>
                <c:pt idx="18">
                  <c:v>Jul 15</c:v>
                </c:pt>
                <c:pt idx="19">
                  <c:v>Jul 16</c:v>
                </c:pt>
                <c:pt idx="20">
                  <c:v>Jul 17</c:v>
                </c:pt>
                <c:pt idx="21">
                  <c:v>Jul 18</c:v>
                </c:pt>
                <c:pt idx="22">
                  <c:v>Jul 19</c:v>
                </c:pt>
                <c:pt idx="23">
                  <c:v>Jul 20</c:v>
                </c:pt>
                <c:pt idx="24">
                  <c:v>Jul 21</c:v>
                </c:pt>
                <c:pt idx="25">
                  <c:v>Jul 22</c:v>
                </c:pt>
                <c:pt idx="26">
                  <c:v>Jul 23</c:v>
                </c:pt>
                <c:pt idx="27">
                  <c:v>Jul 24</c:v>
                </c:pt>
                <c:pt idx="28">
                  <c:v>Jul 25</c:v>
                </c:pt>
                <c:pt idx="29">
                  <c:v>Jul 26</c:v>
                </c:pt>
                <c:pt idx="30">
                  <c:v>Jul 27</c:v>
                </c:pt>
                <c:pt idx="31">
                  <c:v>Jul 28</c:v>
                </c:pt>
                <c:pt idx="32">
                  <c:v>Jul 29</c:v>
                </c:pt>
                <c:pt idx="33">
                  <c:v>Jul 30</c:v>
                </c:pt>
                <c:pt idx="34">
                  <c:v>Jul 31</c:v>
                </c:pt>
              </c:strCache>
            </c:strRef>
          </c:cat>
          <c:val>
            <c:numRef>
              <c:f>Jul_2026!$N$18:$N$52</c:f>
              <c:numCache>
                <c:formatCode>#,##0</c:formatCode>
                <c:ptCount val="35"/>
                <c:pt idx="1">
                  <c:v>719.14</c:v>
                </c:pt>
                <c:pt idx="2">
                  <c:v>275.38</c:v>
                </c:pt>
                <c:pt idx="3">
                  <c:v>380.03</c:v>
                </c:pt>
                <c:pt idx="4">
                  <c:v>61.64</c:v>
                </c:pt>
                <c:pt idx="5">
                  <c:v>211.67</c:v>
                </c:pt>
                <c:pt idx="6">
                  <c:v>390.12</c:v>
                </c:pt>
                <c:pt idx="7">
                  <c:v>157.91999999999999</c:v>
                </c:pt>
                <c:pt idx="8">
                  <c:v>10</c:v>
                </c:pt>
                <c:pt idx="9">
                  <c:v>36.79</c:v>
                </c:pt>
                <c:pt idx="10">
                  <c:v>63.38</c:v>
                </c:pt>
                <c:pt idx="11">
                  <c:v>152.32</c:v>
                </c:pt>
                <c:pt idx="12">
                  <c:v>353.79</c:v>
                </c:pt>
                <c:pt idx="13">
                  <c:v>189.42</c:v>
                </c:pt>
                <c:pt idx="14">
                  <c:v>203.1</c:v>
                </c:pt>
                <c:pt idx="15">
                  <c:v>665.35</c:v>
                </c:pt>
                <c:pt idx="16">
                  <c:v>706.35</c:v>
                </c:pt>
                <c:pt idx="17">
                  <c:v>6366.54</c:v>
                </c:pt>
                <c:pt idx="18">
                  <c:v>2531.98</c:v>
                </c:pt>
                <c:pt idx="19">
                  <c:v>3079.38</c:v>
                </c:pt>
                <c:pt idx="20">
                  <c:v>1906.16</c:v>
                </c:pt>
                <c:pt idx="21">
                  <c:v>5549.78</c:v>
                </c:pt>
                <c:pt idx="22">
                  <c:v>4634.8</c:v>
                </c:pt>
                <c:pt idx="23">
                  <c:v>3722.17</c:v>
                </c:pt>
                <c:pt idx="24">
                  <c:v>5832.04</c:v>
                </c:pt>
                <c:pt idx="25">
                  <c:v>1205.3499999999999</c:v>
                </c:pt>
                <c:pt idx="26">
                  <c:v>6859.2</c:v>
                </c:pt>
                <c:pt idx="27">
                  <c:v>3973.15</c:v>
                </c:pt>
                <c:pt idx="28">
                  <c:v>1750.14</c:v>
                </c:pt>
                <c:pt idx="29">
                  <c:v>1228.22</c:v>
                </c:pt>
                <c:pt idx="30">
                  <c:v>2041.19</c:v>
                </c:pt>
                <c:pt idx="31">
                  <c:v>4459.59</c:v>
                </c:pt>
                <c:pt idx="32">
                  <c:v>4911.03</c:v>
                </c:pt>
                <c:pt idx="33">
                  <c:v>6851.49</c:v>
                </c:pt>
                <c:pt idx="34">
                  <c:v>7431.46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9-144E-96E4-B04ED169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v>open interest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Jul_2026!$O$18:$O$52</c:f>
              <c:numCache>
                <c:formatCode>#,##0</c:formatCode>
                <c:ptCount val="35"/>
                <c:pt idx="1">
                  <c:v>698.12</c:v>
                </c:pt>
                <c:pt idx="2">
                  <c:v>973.5</c:v>
                </c:pt>
                <c:pt idx="3">
                  <c:v>1103.53</c:v>
                </c:pt>
                <c:pt idx="4">
                  <c:v>1143.3699999999999</c:v>
                </c:pt>
                <c:pt idx="5">
                  <c:v>1343.4</c:v>
                </c:pt>
                <c:pt idx="6">
                  <c:v>1733.52</c:v>
                </c:pt>
                <c:pt idx="7">
                  <c:v>1685.1</c:v>
                </c:pt>
                <c:pt idx="8">
                  <c:v>1695.1</c:v>
                </c:pt>
                <c:pt idx="9">
                  <c:v>1731.89</c:v>
                </c:pt>
                <c:pt idx="10">
                  <c:v>1792.87</c:v>
                </c:pt>
                <c:pt idx="11">
                  <c:v>1933.42</c:v>
                </c:pt>
                <c:pt idx="12">
                  <c:v>2287.21</c:v>
                </c:pt>
                <c:pt idx="13">
                  <c:v>2218.04</c:v>
                </c:pt>
                <c:pt idx="14">
                  <c:v>2385.14</c:v>
                </c:pt>
                <c:pt idx="15">
                  <c:v>2873.89</c:v>
                </c:pt>
                <c:pt idx="16">
                  <c:v>3374.77</c:v>
                </c:pt>
                <c:pt idx="17">
                  <c:v>6124.14</c:v>
                </c:pt>
                <c:pt idx="18">
                  <c:v>8036.88</c:v>
                </c:pt>
                <c:pt idx="19">
                  <c:v>9738.6200000000008</c:v>
                </c:pt>
                <c:pt idx="20">
                  <c:v>10075.43</c:v>
                </c:pt>
                <c:pt idx="21">
                  <c:v>12761.16</c:v>
                </c:pt>
                <c:pt idx="22">
                  <c:v>15516.5</c:v>
                </c:pt>
                <c:pt idx="23">
                  <c:v>15924.51</c:v>
                </c:pt>
                <c:pt idx="24">
                  <c:v>16275.84</c:v>
                </c:pt>
                <c:pt idx="25">
                  <c:v>17033.13</c:v>
                </c:pt>
                <c:pt idx="26">
                  <c:v>20074.41</c:v>
                </c:pt>
                <c:pt idx="27">
                  <c:v>21367.83</c:v>
                </c:pt>
                <c:pt idx="28">
                  <c:v>22118.14</c:v>
                </c:pt>
                <c:pt idx="29">
                  <c:v>22837.27</c:v>
                </c:pt>
                <c:pt idx="30">
                  <c:v>24002.95</c:v>
                </c:pt>
                <c:pt idx="31">
                  <c:v>26476.29</c:v>
                </c:pt>
                <c:pt idx="32">
                  <c:v>27327.72</c:v>
                </c:pt>
                <c:pt idx="33">
                  <c:v>31013</c:v>
                </c:pt>
                <c:pt idx="34">
                  <c:v>33069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144E-96E4-B04ED169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Forecast error — Dev and Dev3 (spike tripwire, ±0.05)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Dev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Jul_2026!$A$18:$A$52</c:f>
              <c:strCache>
                <c:ptCount val="35"/>
                <c:pt idx="0">
                  <c:v>Jun 27</c:v>
                </c:pt>
                <c:pt idx="1">
                  <c:v>Jun 28</c:v>
                </c:pt>
                <c:pt idx="2">
                  <c:v>Jun 29</c:v>
                </c:pt>
                <c:pt idx="3">
                  <c:v>Jun 30</c:v>
                </c:pt>
                <c:pt idx="4">
                  <c:v>Jul 01</c:v>
                </c:pt>
                <c:pt idx="5">
                  <c:v>Jul 02</c:v>
                </c:pt>
                <c:pt idx="6">
                  <c:v>Jul 03</c:v>
                </c:pt>
                <c:pt idx="7">
                  <c:v>Jul 04</c:v>
                </c:pt>
                <c:pt idx="8">
                  <c:v>Jul 05</c:v>
                </c:pt>
                <c:pt idx="9">
                  <c:v>Jul 06</c:v>
                </c:pt>
                <c:pt idx="10">
                  <c:v>Jul 07</c:v>
                </c:pt>
                <c:pt idx="11">
                  <c:v>Jul 08</c:v>
                </c:pt>
                <c:pt idx="12">
                  <c:v>Jul 09</c:v>
                </c:pt>
                <c:pt idx="13">
                  <c:v>Jul 10</c:v>
                </c:pt>
                <c:pt idx="14">
                  <c:v>Jul 11</c:v>
                </c:pt>
                <c:pt idx="15">
                  <c:v>Jul 12</c:v>
                </c:pt>
                <c:pt idx="16">
                  <c:v>Jul 13</c:v>
                </c:pt>
                <c:pt idx="17">
                  <c:v>Jul 14</c:v>
                </c:pt>
                <c:pt idx="18">
                  <c:v>Jul 15</c:v>
                </c:pt>
                <c:pt idx="19">
                  <c:v>Jul 16</c:v>
                </c:pt>
                <c:pt idx="20">
                  <c:v>Jul 17</c:v>
                </c:pt>
                <c:pt idx="21">
                  <c:v>Jul 18</c:v>
                </c:pt>
                <c:pt idx="22">
                  <c:v>Jul 19</c:v>
                </c:pt>
                <c:pt idx="23">
                  <c:v>Jul 20</c:v>
                </c:pt>
                <c:pt idx="24">
                  <c:v>Jul 21</c:v>
                </c:pt>
                <c:pt idx="25">
                  <c:v>Jul 22</c:v>
                </c:pt>
                <c:pt idx="26">
                  <c:v>Jul 23</c:v>
                </c:pt>
                <c:pt idx="27">
                  <c:v>Jul 24</c:v>
                </c:pt>
                <c:pt idx="28">
                  <c:v>Jul 25</c:v>
                </c:pt>
                <c:pt idx="29">
                  <c:v>Jul 26</c:v>
                </c:pt>
                <c:pt idx="30">
                  <c:v>Jul 27</c:v>
                </c:pt>
                <c:pt idx="31">
                  <c:v>Jul 28</c:v>
                </c:pt>
                <c:pt idx="32">
                  <c:v>Jul 29</c:v>
                </c:pt>
                <c:pt idx="33">
                  <c:v>Jul 30</c:v>
                </c:pt>
                <c:pt idx="34">
                  <c:v>Jul 31</c:v>
                </c:pt>
              </c:strCache>
            </c:strRef>
          </c:cat>
          <c:val>
            <c:numRef>
              <c:f>Jul_2026!$D$18:$D$52</c:f>
              <c:numCache>
                <c:formatCode>\+0.000;\-0.000;0.000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-3.4000000000000696E-3</c:v>
                </c:pt>
                <c:pt idx="14">
                  <c:v>2.3299999999999987E-2</c:v>
                </c:pt>
                <c:pt idx="15">
                  <c:v>4.660000000000003E-2</c:v>
                </c:pt>
                <c:pt idx="16">
                  <c:v>0.12040000000000001</c:v>
                </c:pt>
                <c:pt idx="17">
                  <c:v>0.14660000000000006</c:v>
                </c:pt>
                <c:pt idx="18">
                  <c:v>0.18479999999999996</c:v>
                </c:pt>
                <c:pt idx="19">
                  <c:v>0.12389999999999995</c:v>
                </c:pt>
                <c:pt idx="20">
                  <c:v>0.19259999999999994</c:v>
                </c:pt>
                <c:pt idx="21">
                  <c:v>0.22339999999999999</c:v>
                </c:pt>
                <c:pt idx="22">
                  <c:v>0.19090000000000001</c:v>
                </c:pt>
                <c:pt idx="23">
                  <c:v>0.1482</c:v>
                </c:pt>
                <c:pt idx="24">
                  <c:v>0.14270000000000005</c:v>
                </c:pt>
                <c:pt idx="25">
                  <c:v>2.7000000000000024E-2</c:v>
                </c:pt>
                <c:pt idx="26">
                  <c:v>2.8399999999999981E-2</c:v>
                </c:pt>
                <c:pt idx="27">
                  <c:v>2.970000000000006E-2</c:v>
                </c:pt>
                <c:pt idx="28">
                  <c:v>0.13730000000000009</c:v>
                </c:pt>
                <c:pt idx="29">
                  <c:v>0.14180000000000004</c:v>
                </c:pt>
                <c:pt idx="30">
                  <c:v>0.11560000000000004</c:v>
                </c:pt>
                <c:pt idx="31">
                  <c:v>5.4699999999999971E-2</c:v>
                </c:pt>
                <c:pt idx="32">
                  <c:v>-9.8000000000000309E-3</c:v>
                </c:pt>
                <c:pt idx="33">
                  <c:v>1.0500000000000065E-2</c:v>
                </c:pt>
                <c:pt idx="34">
                  <c:v>4.0699999999999958E-2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13-CE47-9B2D-9F31A2752009}"/>
            </c:ext>
          </c:extLst>
        </c:ser>
        <c:ser>
          <c:idx val="1"/>
          <c:order val="1"/>
          <c:tx>
            <c:v>Dev3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Jul_2026!$A$18:$A$52</c:f>
              <c:strCache>
                <c:ptCount val="35"/>
                <c:pt idx="0">
                  <c:v>Jun 27</c:v>
                </c:pt>
                <c:pt idx="1">
                  <c:v>Jun 28</c:v>
                </c:pt>
                <c:pt idx="2">
                  <c:v>Jun 29</c:v>
                </c:pt>
                <c:pt idx="3">
                  <c:v>Jun 30</c:v>
                </c:pt>
                <c:pt idx="4">
                  <c:v>Jul 01</c:v>
                </c:pt>
                <c:pt idx="5">
                  <c:v>Jul 02</c:v>
                </c:pt>
                <c:pt idx="6">
                  <c:v>Jul 03</c:v>
                </c:pt>
                <c:pt idx="7">
                  <c:v>Jul 04</c:v>
                </c:pt>
                <c:pt idx="8">
                  <c:v>Jul 05</c:v>
                </c:pt>
                <c:pt idx="9">
                  <c:v>Jul 06</c:v>
                </c:pt>
                <c:pt idx="10">
                  <c:v>Jul 07</c:v>
                </c:pt>
                <c:pt idx="11">
                  <c:v>Jul 08</c:v>
                </c:pt>
                <c:pt idx="12">
                  <c:v>Jul 09</c:v>
                </c:pt>
                <c:pt idx="13">
                  <c:v>Jul 10</c:v>
                </c:pt>
                <c:pt idx="14">
                  <c:v>Jul 11</c:v>
                </c:pt>
                <c:pt idx="15">
                  <c:v>Jul 12</c:v>
                </c:pt>
                <c:pt idx="16">
                  <c:v>Jul 13</c:v>
                </c:pt>
                <c:pt idx="17">
                  <c:v>Jul 14</c:v>
                </c:pt>
                <c:pt idx="18">
                  <c:v>Jul 15</c:v>
                </c:pt>
                <c:pt idx="19">
                  <c:v>Jul 16</c:v>
                </c:pt>
                <c:pt idx="20">
                  <c:v>Jul 17</c:v>
                </c:pt>
                <c:pt idx="21">
                  <c:v>Jul 18</c:v>
                </c:pt>
                <c:pt idx="22">
                  <c:v>Jul 19</c:v>
                </c:pt>
                <c:pt idx="23">
                  <c:v>Jul 20</c:v>
                </c:pt>
                <c:pt idx="24">
                  <c:v>Jul 21</c:v>
                </c:pt>
                <c:pt idx="25">
                  <c:v>Jul 22</c:v>
                </c:pt>
                <c:pt idx="26">
                  <c:v>Jul 23</c:v>
                </c:pt>
                <c:pt idx="27">
                  <c:v>Jul 24</c:v>
                </c:pt>
                <c:pt idx="28">
                  <c:v>Jul 25</c:v>
                </c:pt>
                <c:pt idx="29">
                  <c:v>Jul 26</c:v>
                </c:pt>
                <c:pt idx="30">
                  <c:v>Jul 27</c:v>
                </c:pt>
                <c:pt idx="31">
                  <c:v>Jul 28</c:v>
                </c:pt>
                <c:pt idx="32">
                  <c:v>Jul 29</c:v>
                </c:pt>
                <c:pt idx="33">
                  <c:v>Jul 30</c:v>
                </c:pt>
                <c:pt idx="34">
                  <c:v>Jul 31</c:v>
                </c:pt>
              </c:strCache>
            </c:strRef>
          </c:cat>
          <c:val>
            <c:numRef>
              <c:f>Jul_2026!$E$18:$E$52</c:f>
              <c:numCache>
                <c:formatCode>\+0.000;\-0.000;0.000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2.2166666666666651E-2</c:v>
                </c:pt>
                <c:pt idx="16">
                  <c:v>6.3433333333333342E-2</c:v>
                </c:pt>
                <c:pt idx="17">
                  <c:v>0.10453333333333337</c:v>
                </c:pt>
                <c:pt idx="18">
                  <c:v>0.15060000000000001</c:v>
                </c:pt>
                <c:pt idx="19">
                  <c:v>0.15176666666666666</c:v>
                </c:pt>
                <c:pt idx="20">
                  <c:v>0.16709999999999994</c:v>
                </c:pt>
                <c:pt idx="21">
                  <c:v>0.17996666666666661</c:v>
                </c:pt>
                <c:pt idx="22">
                  <c:v>0.20230000000000001</c:v>
                </c:pt>
                <c:pt idx="23">
                  <c:v>0.1875</c:v>
                </c:pt>
                <c:pt idx="24">
                  <c:v>0.16060000000000002</c:v>
                </c:pt>
                <c:pt idx="25">
                  <c:v>0.1059666666666667</c:v>
                </c:pt>
                <c:pt idx="26">
                  <c:v>6.6033333333333347E-2</c:v>
                </c:pt>
                <c:pt idx="27">
                  <c:v>2.8366666666666689E-2</c:v>
                </c:pt>
                <c:pt idx="28">
                  <c:v>6.5133333333333376E-2</c:v>
                </c:pt>
                <c:pt idx="29">
                  <c:v>0.10293333333333339</c:v>
                </c:pt>
                <c:pt idx="30">
                  <c:v>0.13156666666666672</c:v>
                </c:pt>
                <c:pt idx="31">
                  <c:v>0.10403333333333335</c:v>
                </c:pt>
                <c:pt idx="32">
                  <c:v>5.3499999999999992E-2</c:v>
                </c:pt>
                <c:pt idx="33">
                  <c:v>1.8466666666666669E-2</c:v>
                </c:pt>
                <c:pt idx="34">
                  <c:v>1.3799999999999998E-2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3-CE47-9B2D-9F31A2752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Month-to-date vs record pace — August 2026 (°C vs 1991–2020)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MTD mean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Aug_2026!$A$22:$A$52</c:f>
              <c:strCache>
                <c:ptCount val="31"/>
                <c:pt idx="0">
                  <c:v>Aug 01</c:v>
                </c:pt>
                <c:pt idx="1">
                  <c:v>Aug 02</c:v>
                </c:pt>
                <c:pt idx="2">
                  <c:v>Aug 03</c:v>
                </c:pt>
                <c:pt idx="3">
                  <c:v>Aug 04</c:v>
                </c:pt>
                <c:pt idx="4">
                  <c:v>Aug 05</c:v>
                </c:pt>
                <c:pt idx="5">
                  <c:v>Aug 06</c:v>
                </c:pt>
                <c:pt idx="6">
                  <c:v>Aug 07</c:v>
                </c:pt>
                <c:pt idx="7">
                  <c:v>Aug 08</c:v>
                </c:pt>
                <c:pt idx="8">
                  <c:v>Aug 09</c:v>
                </c:pt>
                <c:pt idx="9">
                  <c:v>Aug 10</c:v>
                </c:pt>
                <c:pt idx="10">
                  <c:v>Aug 11</c:v>
                </c:pt>
                <c:pt idx="11">
                  <c:v>Aug 12</c:v>
                </c:pt>
                <c:pt idx="12">
                  <c:v>Aug 13</c:v>
                </c:pt>
                <c:pt idx="13">
                  <c:v>Aug 14</c:v>
                </c:pt>
                <c:pt idx="14">
                  <c:v>Aug 15</c:v>
                </c:pt>
                <c:pt idx="15">
                  <c:v>Aug 16</c:v>
                </c:pt>
                <c:pt idx="16">
                  <c:v>Aug 17</c:v>
                </c:pt>
                <c:pt idx="17">
                  <c:v>Aug 18</c:v>
                </c:pt>
                <c:pt idx="18">
                  <c:v>Aug 19</c:v>
                </c:pt>
                <c:pt idx="19">
                  <c:v>Aug 20</c:v>
                </c:pt>
                <c:pt idx="20">
                  <c:v>Aug 21</c:v>
                </c:pt>
                <c:pt idx="21">
                  <c:v>Aug 22</c:v>
                </c:pt>
                <c:pt idx="22">
                  <c:v>Aug 23</c:v>
                </c:pt>
                <c:pt idx="23">
                  <c:v>Aug 24</c:v>
                </c:pt>
                <c:pt idx="24">
                  <c:v>Aug 25</c:v>
                </c:pt>
                <c:pt idx="25">
                  <c:v>Aug 26</c:v>
                </c:pt>
                <c:pt idx="26">
                  <c:v>Aug 27</c:v>
                </c:pt>
                <c:pt idx="27">
                  <c:v>Aug 28</c:v>
                </c:pt>
                <c:pt idx="28">
                  <c:v>Aug 29</c:v>
                </c:pt>
                <c:pt idx="29">
                  <c:v>Aug 30</c:v>
                </c:pt>
                <c:pt idx="30">
                  <c:v>Aug 31</c:v>
                </c:pt>
              </c:strCache>
            </c:strRef>
          </c:cat>
          <c:val>
            <c:numRef>
              <c:f>Aug_2026!$F$22:$F$52</c:f>
              <c:numCache>
                <c:formatCode>\+0.000;\-0.000;0.000</c:formatCode>
                <c:ptCount val="31"/>
                <c:pt idx="0">
                  <c:v>0.71099999999999997</c:v>
                </c:pt>
                <c:pt idx="1">
                  <c:v>0.70849999999999991</c:v>
                </c:pt>
                <c:pt idx="2">
                  <c:v>0.70166666666666655</c:v>
                </c:pt>
                <c:pt idx="3">
                  <c:v>0.69349999999999989</c:v>
                </c:pt>
                <c:pt idx="4">
                  <c:v>0.70619999999999994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4-7947-B9D3-5C1D073CDDD1}"/>
            </c:ext>
          </c:extLst>
        </c:ser>
        <c:ser>
          <c:idx val="1"/>
          <c:order val="1"/>
          <c:tx>
            <c:v>2024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Aug_2026!$A$22:$A$52</c:f>
              <c:strCache>
                <c:ptCount val="31"/>
                <c:pt idx="0">
                  <c:v>Aug 01</c:v>
                </c:pt>
                <c:pt idx="1">
                  <c:v>Aug 02</c:v>
                </c:pt>
                <c:pt idx="2">
                  <c:v>Aug 03</c:v>
                </c:pt>
                <c:pt idx="3">
                  <c:v>Aug 04</c:v>
                </c:pt>
                <c:pt idx="4">
                  <c:v>Aug 05</c:v>
                </c:pt>
                <c:pt idx="5">
                  <c:v>Aug 06</c:v>
                </c:pt>
                <c:pt idx="6">
                  <c:v>Aug 07</c:v>
                </c:pt>
                <c:pt idx="7">
                  <c:v>Aug 08</c:v>
                </c:pt>
                <c:pt idx="8">
                  <c:v>Aug 09</c:v>
                </c:pt>
                <c:pt idx="9">
                  <c:v>Aug 10</c:v>
                </c:pt>
                <c:pt idx="10">
                  <c:v>Aug 11</c:v>
                </c:pt>
                <c:pt idx="11">
                  <c:v>Aug 12</c:v>
                </c:pt>
                <c:pt idx="12">
                  <c:v>Aug 13</c:v>
                </c:pt>
                <c:pt idx="13">
                  <c:v>Aug 14</c:v>
                </c:pt>
                <c:pt idx="14">
                  <c:v>Aug 15</c:v>
                </c:pt>
                <c:pt idx="15">
                  <c:v>Aug 16</c:v>
                </c:pt>
                <c:pt idx="16">
                  <c:v>Aug 17</c:v>
                </c:pt>
                <c:pt idx="17">
                  <c:v>Aug 18</c:v>
                </c:pt>
                <c:pt idx="18">
                  <c:v>Aug 19</c:v>
                </c:pt>
                <c:pt idx="19">
                  <c:v>Aug 20</c:v>
                </c:pt>
                <c:pt idx="20">
                  <c:v>Aug 21</c:v>
                </c:pt>
                <c:pt idx="21">
                  <c:v>Aug 22</c:v>
                </c:pt>
                <c:pt idx="22">
                  <c:v>Aug 23</c:v>
                </c:pt>
                <c:pt idx="23">
                  <c:v>Aug 24</c:v>
                </c:pt>
                <c:pt idx="24">
                  <c:v>Aug 25</c:v>
                </c:pt>
                <c:pt idx="25">
                  <c:v>Aug 26</c:v>
                </c:pt>
                <c:pt idx="26">
                  <c:v>Aug 27</c:v>
                </c:pt>
                <c:pt idx="27">
                  <c:v>Aug 28</c:v>
                </c:pt>
                <c:pt idx="28">
                  <c:v>Aug 29</c:v>
                </c:pt>
                <c:pt idx="29">
                  <c:v>Aug 30</c:v>
                </c:pt>
                <c:pt idx="30">
                  <c:v>Aug 31</c:v>
                </c:pt>
              </c:strCache>
            </c:strRef>
          </c:cat>
          <c:val>
            <c:numRef>
              <c:f>Aug_2026!$G$22:$G$52</c:f>
              <c:numCache>
                <c:formatCode>\+0.000;\-0.000;0.000</c:formatCode>
                <c:ptCount val="31"/>
                <c:pt idx="0">
                  <c:v>0.72899999999999998</c:v>
                </c:pt>
                <c:pt idx="1">
                  <c:v>0.75549999999999995</c:v>
                </c:pt>
                <c:pt idx="2">
                  <c:v>0.77600000000000002</c:v>
                </c:pt>
                <c:pt idx="3">
                  <c:v>0.78049999999999997</c:v>
                </c:pt>
                <c:pt idx="4">
                  <c:v>0.78259999999999996</c:v>
                </c:pt>
                <c:pt idx="5">
                  <c:v>0.78700000000000003</c:v>
                </c:pt>
                <c:pt idx="6">
                  <c:v>0.78900000000000003</c:v>
                </c:pt>
                <c:pt idx="7">
                  <c:v>0.78490000000000004</c:v>
                </c:pt>
                <c:pt idx="8">
                  <c:v>0.77769999999999995</c:v>
                </c:pt>
                <c:pt idx="9">
                  <c:v>0.76600000000000001</c:v>
                </c:pt>
                <c:pt idx="10">
                  <c:v>0.75380000000000003</c:v>
                </c:pt>
                <c:pt idx="11">
                  <c:v>0.74150000000000005</c:v>
                </c:pt>
                <c:pt idx="12">
                  <c:v>0.7278</c:v>
                </c:pt>
                <c:pt idx="13">
                  <c:v>0.71589999999999998</c:v>
                </c:pt>
                <c:pt idx="14">
                  <c:v>0.7097</c:v>
                </c:pt>
                <c:pt idx="15">
                  <c:v>0.70830000000000004</c:v>
                </c:pt>
                <c:pt idx="16">
                  <c:v>0.70940000000000003</c:v>
                </c:pt>
                <c:pt idx="17">
                  <c:v>0.71330000000000005</c:v>
                </c:pt>
                <c:pt idx="18">
                  <c:v>0.71809999999999996</c:v>
                </c:pt>
                <c:pt idx="19">
                  <c:v>0.71879999999999999</c:v>
                </c:pt>
                <c:pt idx="20">
                  <c:v>0.71760000000000002</c:v>
                </c:pt>
                <c:pt idx="21">
                  <c:v>0.71519999999999995</c:v>
                </c:pt>
                <c:pt idx="22">
                  <c:v>0.71209999999999996</c:v>
                </c:pt>
                <c:pt idx="23">
                  <c:v>0.70750000000000002</c:v>
                </c:pt>
                <c:pt idx="24">
                  <c:v>0.70199999999999996</c:v>
                </c:pt>
                <c:pt idx="25">
                  <c:v>0.69989999999999997</c:v>
                </c:pt>
                <c:pt idx="26">
                  <c:v>0.70089999999999997</c:v>
                </c:pt>
                <c:pt idx="27">
                  <c:v>0.70409999999999995</c:v>
                </c:pt>
                <c:pt idx="28">
                  <c:v>0.70709999999999995</c:v>
                </c:pt>
                <c:pt idx="29">
                  <c:v>0.71009999999999995</c:v>
                </c:pt>
                <c:pt idx="30">
                  <c:v>0.71250000000000002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E4-7947-B9D3-5C1D073CDDD1}"/>
            </c:ext>
          </c:extLst>
        </c:ser>
        <c:ser>
          <c:idx val="2"/>
          <c:order val="2"/>
          <c:tx>
            <c:v>2023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Aug_2026!$A$22:$A$52</c:f>
              <c:strCache>
                <c:ptCount val="31"/>
                <c:pt idx="0">
                  <c:v>Aug 01</c:v>
                </c:pt>
                <c:pt idx="1">
                  <c:v>Aug 02</c:v>
                </c:pt>
                <c:pt idx="2">
                  <c:v>Aug 03</c:v>
                </c:pt>
                <c:pt idx="3">
                  <c:v>Aug 04</c:v>
                </c:pt>
                <c:pt idx="4">
                  <c:v>Aug 05</c:v>
                </c:pt>
                <c:pt idx="5">
                  <c:v>Aug 06</c:v>
                </c:pt>
                <c:pt idx="6">
                  <c:v>Aug 07</c:v>
                </c:pt>
                <c:pt idx="7">
                  <c:v>Aug 08</c:v>
                </c:pt>
                <c:pt idx="8">
                  <c:v>Aug 09</c:v>
                </c:pt>
                <c:pt idx="9">
                  <c:v>Aug 10</c:v>
                </c:pt>
                <c:pt idx="10">
                  <c:v>Aug 11</c:v>
                </c:pt>
                <c:pt idx="11">
                  <c:v>Aug 12</c:v>
                </c:pt>
                <c:pt idx="12">
                  <c:v>Aug 13</c:v>
                </c:pt>
                <c:pt idx="13">
                  <c:v>Aug 14</c:v>
                </c:pt>
                <c:pt idx="14">
                  <c:v>Aug 15</c:v>
                </c:pt>
                <c:pt idx="15">
                  <c:v>Aug 16</c:v>
                </c:pt>
                <c:pt idx="16">
                  <c:v>Aug 17</c:v>
                </c:pt>
                <c:pt idx="17">
                  <c:v>Aug 18</c:v>
                </c:pt>
                <c:pt idx="18">
                  <c:v>Aug 19</c:v>
                </c:pt>
                <c:pt idx="19">
                  <c:v>Aug 20</c:v>
                </c:pt>
                <c:pt idx="20">
                  <c:v>Aug 21</c:v>
                </c:pt>
                <c:pt idx="21">
                  <c:v>Aug 22</c:v>
                </c:pt>
                <c:pt idx="22">
                  <c:v>Aug 23</c:v>
                </c:pt>
                <c:pt idx="23">
                  <c:v>Aug 24</c:v>
                </c:pt>
                <c:pt idx="24">
                  <c:v>Aug 25</c:v>
                </c:pt>
                <c:pt idx="25">
                  <c:v>Aug 26</c:v>
                </c:pt>
                <c:pt idx="26">
                  <c:v>Aug 27</c:v>
                </c:pt>
                <c:pt idx="27">
                  <c:v>Aug 28</c:v>
                </c:pt>
                <c:pt idx="28">
                  <c:v>Aug 29</c:v>
                </c:pt>
                <c:pt idx="29">
                  <c:v>Aug 30</c:v>
                </c:pt>
                <c:pt idx="30">
                  <c:v>Aug 31</c:v>
                </c:pt>
              </c:strCache>
            </c:strRef>
          </c:cat>
          <c:val>
            <c:numRef>
              <c:f>Aug_2026!$H$22:$H$52</c:f>
              <c:numCache>
                <c:formatCode>\+0.000;\-0.000;0.000</c:formatCode>
                <c:ptCount val="31"/>
                <c:pt idx="0">
                  <c:v>0.73499999999999999</c:v>
                </c:pt>
                <c:pt idx="1">
                  <c:v>0.746</c:v>
                </c:pt>
                <c:pt idx="2">
                  <c:v>0.75600000000000001</c:v>
                </c:pt>
                <c:pt idx="3">
                  <c:v>0.76580000000000004</c:v>
                </c:pt>
                <c:pt idx="4">
                  <c:v>0.76639999999999997</c:v>
                </c:pt>
                <c:pt idx="5">
                  <c:v>0.76049999999999995</c:v>
                </c:pt>
                <c:pt idx="6">
                  <c:v>0.74809999999999999</c:v>
                </c:pt>
                <c:pt idx="7">
                  <c:v>0.7339</c:v>
                </c:pt>
                <c:pt idx="8">
                  <c:v>0.72119999999999995</c:v>
                </c:pt>
                <c:pt idx="9">
                  <c:v>0.71120000000000005</c:v>
                </c:pt>
                <c:pt idx="10">
                  <c:v>0.70099999999999996</c:v>
                </c:pt>
                <c:pt idx="11">
                  <c:v>0.6905</c:v>
                </c:pt>
                <c:pt idx="12">
                  <c:v>0.68159999999999998</c:v>
                </c:pt>
                <c:pt idx="13">
                  <c:v>0.67479999999999996</c:v>
                </c:pt>
                <c:pt idx="14">
                  <c:v>0.67330000000000001</c:v>
                </c:pt>
                <c:pt idx="15">
                  <c:v>0.67420000000000002</c:v>
                </c:pt>
                <c:pt idx="16">
                  <c:v>0.67520000000000002</c:v>
                </c:pt>
                <c:pt idx="17">
                  <c:v>0.67669999999999997</c:v>
                </c:pt>
                <c:pt idx="18">
                  <c:v>0.67630000000000001</c:v>
                </c:pt>
                <c:pt idx="19">
                  <c:v>0.67630000000000001</c:v>
                </c:pt>
                <c:pt idx="20">
                  <c:v>0.6784</c:v>
                </c:pt>
                <c:pt idx="21">
                  <c:v>0.68210000000000004</c:v>
                </c:pt>
                <c:pt idx="22">
                  <c:v>0.68610000000000004</c:v>
                </c:pt>
                <c:pt idx="23">
                  <c:v>0.69169999999999998</c:v>
                </c:pt>
                <c:pt idx="24">
                  <c:v>0.69899999999999995</c:v>
                </c:pt>
                <c:pt idx="25">
                  <c:v>0.70379999999999998</c:v>
                </c:pt>
                <c:pt idx="26">
                  <c:v>0.70550000000000002</c:v>
                </c:pt>
                <c:pt idx="27">
                  <c:v>0.70669999999999999</c:v>
                </c:pt>
                <c:pt idx="28">
                  <c:v>0.70920000000000005</c:v>
                </c:pt>
                <c:pt idx="29">
                  <c:v>0.71089999999999998</c:v>
                </c:pt>
                <c:pt idx="30">
                  <c:v>0.71050000000000002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E4-7947-B9D3-5C1D073CDDD1}"/>
            </c:ext>
          </c:extLst>
        </c:ser>
        <c:ser>
          <c:idx val="3"/>
          <c:order val="3"/>
          <c:tx>
            <c:v>record pace +0.692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Aug_2026!$A$22:$A$52</c:f>
              <c:strCache>
                <c:ptCount val="31"/>
                <c:pt idx="0">
                  <c:v>Aug 01</c:v>
                </c:pt>
                <c:pt idx="1">
                  <c:v>Aug 02</c:v>
                </c:pt>
                <c:pt idx="2">
                  <c:v>Aug 03</c:v>
                </c:pt>
                <c:pt idx="3">
                  <c:v>Aug 04</c:v>
                </c:pt>
                <c:pt idx="4">
                  <c:v>Aug 05</c:v>
                </c:pt>
                <c:pt idx="5">
                  <c:v>Aug 06</c:v>
                </c:pt>
                <c:pt idx="6">
                  <c:v>Aug 07</c:v>
                </c:pt>
                <c:pt idx="7">
                  <c:v>Aug 08</c:v>
                </c:pt>
                <c:pt idx="8">
                  <c:v>Aug 09</c:v>
                </c:pt>
                <c:pt idx="9">
                  <c:v>Aug 10</c:v>
                </c:pt>
                <c:pt idx="10">
                  <c:v>Aug 11</c:v>
                </c:pt>
                <c:pt idx="11">
                  <c:v>Aug 12</c:v>
                </c:pt>
                <c:pt idx="12">
                  <c:v>Aug 13</c:v>
                </c:pt>
                <c:pt idx="13">
                  <c:v>Aug 14</c:v>
                </c:pt>
                <c:pt idx="14">
                  <c:v>Aug 15</c:v>
                </c:pt>
                <c:pt idx="15">
                  <c:v>Aug 16</c:v>
                </c:pt>
                <c:pt idx="16">
                  <c:v>Aug 17</c:v>
                </c:pt>
                <c:pt idx="17">
                  <c:v>Aug 18</c:v>
                </c:pt>
                <c:pt idx="18">
                  <c:v>Aug 19</c:v>
                </c:pt>
                <c:pt idx="19">
                  <c:v>Aug 20</c:v>
                </c:pt>
                <c:pt idx="20">
                  <c:v>Aug 21</c:v>
                </c:pt>
                <c:pt idx="21">
                  <c:v>Aug 22</c:v>
                </c:pt>
                <c:pt idx="22">
                  <c:v>Aug 23</c:v>
                </c:pt>
                <c:pt idx="23">
                  <c:v>Aug 24</c:v>
                </c:pt>
                <c:pt idx="24">
                  <c:v>Aug 25</c:v>
                </c:pt>
                <c:pt idx="25">
                  <c:v>Aug 26</c:v>
                </c:pt>
                <c:pt idx="26">
                  <c:v>Aug 27</c:v>
                </c:pt>
                <c:pt idx="27">
                  <c:v>Aug 28</c:v>
                </c:pt>
                <c:pt idx="28">
                  <c:v>Aug 29</c:v>
                </c:pt>
                <c:pt idx="29">
                  <c:v>Aug 30</c:v>
                </c:pt>
                <c:pt idx="30">
                  <c:v>Aug 31</c:v>
                </c:pt>
              </c:strCache>
            </c:strRef>
          </c:cat>
          <c:val>
            <c:numRef>
              <c:f>Aug_2026!$R$22:$R$52</c:f>
              <c:numCache>
                <c:formatCode>\+0.000;\-0.000;0.000</c:formatCode>
                <c:ptCount val="31"/>
                <c:pt idx="0">
                  <c:v>0.69217174342447241</c:v>
                </c:pt>
                <c:pt idx="1">
                  <c:v>0.69217174342447241</c:v>
                </c:pt>
                <c:pt idx="2">
                  <c:v>0.69217174342447241</c:v>
                </c:pt>
                <c:pt idx="3">
                  <c:v>0.69217174342447241</c:v>
                </c:pt>
                <c:pt idx="4">
                  <c:v>0.69217174342447241</c:v>
                </c:pt>
                <c:pt idx="5">
                  <c:v>0.69217174342447241</c:v>
                </c:pt>
                <c:pt idx="6">
                  <c:v>0.69217174342447241</c:v>
                </c:pt>
                <c:pt idx="7">
                  <c:v>0.69217174342447241</c:v>
                </c:pt>
                <c:pt idx="8">
                  <c:v>0.69217174342447241</c:v>
                </c:pt>
                <c:pt idx="9">
                  <c:v>0.69217174342447241</c:v>
                </c:pt>
                <c:pt idx="10">
                  <c:v>0.69217174342447241</c:v>
                </c:pt>
                <c:pt idx="11">
                  <c:v>0.69217174342447241</c:v>
                </c:pt>
                <c:pt idx="12">
                  <c:v>0.69217174342447241</c:v>
                </c:pt>
                <c:pt idx="13">
                  <c:v>0.69217174342447241</c:v>
                </c:pt>
                <c:pt idx="14">
                  <c:v>0.69217174342447241</c:v>
                </c:pt>
                <c:pt idx="15">
                  <c:v>0.69217174342447241</c:v>
                </c:pt>
                <c:pt idx="16">
                  <c:v>0.69217174342447241</c:v>
                </c:pt>
                <c:pt idx="17">
                  <c:v>0.69217174342447241</c:v>
                </c:pt>
                <c:pt idx="18">
                  <c:v>0.69217174342447241</c:v>
                </c:pt>
                <c:pt idx="19">
                  <c:v>0.69217174342447241</c:v>
                </c:pt>
                <c:pt idx="20">
                  <c:v>0.69217174342447241</c:v>
                </c:pt>
                <c:pt idx="21">
                  <c:v>0.69217174342447241</c:v>
                </c:pt>
                <c:pt idx="22">
                  <c:v>0.69217174342447241</c:v>
                </c:pt>
                <c:pt idx="23">
                  <c:v>0.69217174342447241</c:v>
                </c:pt>
                <c:pt idx="24">
                  <c:v>0.69217174342447241</c:v>
                </c:pt>
                <c:pt idx="25">
                  <c:v>0.69217174342447241</c:v>
                </c:pt>
                <c:pt idx="26">
                  <c:v>0.69217174342447241</c:v>
                </c:pt>
                <c:pt idx="27">
                  <c:v>0.69217174342447241</c:v>
                </c:pt>
                <c:pt idx="28">
                  <c:v>0.69217174342447241</c:v>
                </c:pt>
                <c:pt idx="29">
                  <c:v>0.69217174342447241</c:v>
                </c:pt>
                <c:pt idx="30">
                  <c:v>0.69217174342447241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E4-7947-B9D3-5C1D073CD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Model vs market — YES in cents (gap = edge)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model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Aug_2026!$A$18:$A$52</c:f>
              <c:strCache>
                <c:ptCount val="35"/>
                <c:pt idx="0">
                  <c:v>Jul 28</c:v>
                </c:pt>
                <c:pt idx="1">
                  <c:v>Jul 29</c:v>
                </c:pt>
                <c:pt idx="2">
                  <c:v>Jul 30</c:v>
                </c:pt>
                <c:pt idx="3">
                  <c:v>Jul 31</c:v>
                </c:pt>
                <c:pt idx="4">
                  <c:v>Aug 01</c:v>
                </c:pt>
                <c:pt idx="5">
                  <c:v>Aug 02</c:v>
                </c:pt>
                <c:pt idx="6">
                  <c:v>Aug 03</c:v>
                </c:pt>
                <c:pt idx="7">
                  <c:v>Aug 04</c:v>
                </c:pt>
                <c:pt idx="8">
                  <c:v>Aug 05</c:v>
                </c:pt>
                <c:pt idx="9">
                  <c:v>Aug 06</c:v>
                </c:pt>
                <c:pt idx="10">
                  <c:v>Aug 07</c:v>
                </c:pt>
                <c:pt idx="11">
                  <c:v>Aug 08</c:v>
                </c:pt>
                <c:pt idx="12">
                  <c:v>Aug 09</c:v>
                </c:pt>
                <c:pt idx="13">
                  <c:v>Aug 10</c:v>
                </c:pt>
                <c:pt idx="14">
                  <c:v>Aug 11</c:v>
                </c:pt>
                <c:pt idx="15">
                  <c:v>Aug 12</c:v>
                </c:pt>
                <c:pt idx="16">
                  <c:v>Aug 13</c:v>
                </c:pt>
                <c:pt idx="17">
                  <c:v>Aug 14</c:v>
                </c:pt>
                <c:pt idx="18">
                  <c:v>Aug 15</c:v>
                </c:pt>
                <c:pt idx="19">
                  <c:v>Aug 16</c:v>
                </c:pt>
                <c:pt idx="20">
                  <c:v>Aug 17</c:v>
                </c:pt>
                <c:pt idx="21">
                  <c:v>Aug 18</c:v>
                </c:pt>
                <c:pt idx="22">
                  <c:v>Aug 19</c:v>
                </c:pt>
                <c:pt idx="23">
                  <c:v>Aug 20</c:v>
                </c:pt>
                <c:pt idx="24">
                  <c:v>Aug 21</c:v>
                </c:pt>
                <c:pt idx="25">
                  <c:v>Aug 22</c:v>
                </c:pt>
                <c:pt idx="26">
                  <c:v>Aug 23</c:v>
                </c:pt>
                <c:pt idx="27">
                  <c:v>Aug 24</c:v>
                </c:pt>
                <c:pt idx="28">
                  <c:v>Aug 25</c:v>
                </c:pt>
                <c:pt idx="29">
                  <c:v>Aug 26</c:v>
                </c:pt>
                <c:pt idx="30">
                  <c:v>Aug 27</c:v>
                </c:pt>
                <c:pt idx="31">
                  <c:v>Aug 28</c:v>
                </c:pt>
                <c:pt idx="32">
                  <c:v>Aug 29</c:v>
                </c:pt>
                <c:pt idx="33">
                  <c:v>Aug 30</c:v>
                </c:pt>
                <c:pt idx="34">
                  <c:v>Aug 31</c:v>
                </c:pt>
              </c:strCache>
            </c:strRef>
          </c:cat>
          <c:val>
            <c:numRef>
              <c:f>Aug_2026!$S$18:$S$52</c:f>
              <c:numCache>
                <c:formatCode>0.0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37.756242587024211</c:v>
                </c:pt>
                <c:pt idx="5">
                  <c:v>38.42318734601524</c:v>
                </c:pt>
                <c:pt idx="6">
                  <c:v>38.754197279736061</c:v>
                </c:pt>
                <c:pt idx="7">
                  <c:v>38.727836643800174</c:v>
                </c:pt>
                <c:pt idx="8">
                  <c:v>40.367755326172286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8-9144-B5AB-8AAC218CAEB5}"/>
            </c:ext>
          </c:extLst>
        </c:ser>
        <c:ser>
          <c:idx val="1"/>
          <c:order val="1"/>
          <c:tx>
            <c:v>market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Aug_2026!$A$18:$A$52</c:f>
              <c:strCache>
                <c:ptCount val="35"/>
                <c:pt idx="0">
                  <c:v>Jul 28</c:v>
                </c:pt>
                <c:pt idx="1">
                  <c:v>Jul 29</c:v>
                </c:pt>
                <c:pt idx="2">
                  <c:v>Jul 30</c:v>
                </c:pt>
                <c:pt idx="3">
                  <c:v>Jul 31</c:v>
                </c:pt>
                <c:pt idx="4">
                  <c:v>Aug 01</c:v>
                </c:pt>
                <c:pt idx="5">
                  <c:v>Aug 02</c:v>
                </c:pt>
                <c:pt idx="6">
                  <c:v>Aug 03</c:v>
                </c:pt>
                <c:pt idx="7">
                  <c:v>Aug 04</c:v>
                </c:pt>
                <c:pt idx="8">
                  <c:v>Aug 05</c:v>
                </c:pt>
                <c:pt idx="9">
                  <c:v>Aug 06</c:v>
                </c:pt>
                <c:pt idx="10">
                  <c:v>Aug 07</c:v>
                </c:pt>
                <c:pt idx="11">
                  <c:v>Aug 08</c:v>
                </c:pt>
                <c:pt idx="12">
                  <c:v>Aug 09</c:v>
                </c:pt>
                <c:pt idx="13">
                  <c:v>Aug 10</c:v>
                </c:pt>
                <c:pt idx="14">
                  <c:v>Aug 11</c:v>
                </c:pt>
                <c:pt idx="15">
                  <c:v>Aug 12</c:v>
                </c:pt>
                <c:pt idx="16">
                  <c:v>Aug 13</c:v>
                </c:pt>
                <c:pt idx="17">
                  <c:v>Aug 14</c:v>
                </c:pt>
                <c:pt idx="18">
                  <c:v>Aug 15</c:v>
                </c:pt>
                <c:pt idx="19">
                  <c:v>Aug 16</c:v>
                </c:pt>
                <c:pt idx="20">
                  <c:v>Aug 17</c:v>
                </c:pt>
                <c:pt idx="21">
                  <c:v>Aug 18</c:v>
                </c:pt>
                <c:pt idx="22">
                  <c:v>Aug 19</c:v>
                </c:pt>
                <c:pt idx="23">
                  <c:v>Aug 20</c:v>
                </c:pt>
                <c:pt idx="24">
                  <c:v>Aug 21</c:v>
                </c:pt>
                <c:pt idx="25">
                  <c:v>Aug 22</c:v>
                </c:pt>
                <c:pt idx="26">
                  <c:v>Aug 23</c:v>
                </c:pt>
                <c:pt idx="27">
                  <c:v>Aug 24</c:v>
                </c:pt>
                <c:pt idx="28">
                  <c:v>Aug 25</c:v>
                </c:pt>
                <c:pt idx="29">
                  <c:v>Aug 26</c:v>
                </c:pt>
                <c:pt idx="30">
                  <c:v>Aug 27</c:v>
                </c:pt>
                <c:pt idx="31">
                  <c:v>Aug 28</c:v>
                </c:pt>
                <c:pt idx="32">
                  <c:v>Aug 29</c:v>
                </c:pt>
                <c:pt idx="33">
                  <c:v>Aug 30</c:v>
                </c:pt>
                <c:pt idx="34">
                  <c:v>Aug 31</c:v>
                </c:pt>
              </c:strCache>
            </c:strRef>
          </c:cat>
          <c:val>
            <c:numRef>
              <c:f>Aug_2026!$L$18:$L$52</c:f>
              <c:numCache>
                <c:formatCode>0.0</c:formatCode>
                <c:ptCount val="35"/>
                <c:pt idx="0">
                  <c:v>8</c:v>
                </c:pt>
                <c:pt idx="1">
                  <c:v>19</c:v>
                </c:pt>
                <c:pt idx="2">
                  <c:v>48</c:v>
                </c:pt>
                <c:pt idx="3">
                  <c:v>49</c:v>
                </c:pt>
                <c:pt idx="4">
                  <c:v>61</c:v>
                </c:pt>
                <c:pt idx="5">
                  <c:v>41</c:v>
                </c:pt>
                <c:pt idx="6">
                  <c:v>40</c:v>
                </c:pt>
                <c:pt idx="7">
                  <c:v>42</c:v>
                </c:pt>
                <c:pt idx="8">
                  <c:v>36</c:v>
                </c:pt>
                <c:pt idx="9">
                  <c:v>36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08-9144-B5AB-8AAC218CA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Volume and open interest — KXHMONTH-26AUG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volume</c:v>
          </c:tx>
          <c:spPr>
            <a:ln>
              <a:prstDash val="solid"/>
            </a:ln>
          </c:spPr>
          <c:invertIfNegative val="1"/>
          <c:cat>
            <c:strRef>
              <c:f>Aug_2026!$A$18:$A$52</c:f>
              <c:strCache>
                <c:ptCount val="35"/>
                <c:pt idx="0">
                  <c:v>Jul 28</c:v>
                </c:pt>
                <c:pt idx="1">
                  <c:v>Jul 29</c:v>
                </c:pt>
                <c:pt idx="2">
                  <c:v>Jul 30</c:v>
                </c:pt>
                <c:pt idx="3">
                  <c:v>Jul 31</c:v>
                </c:pt>
                <c:pt idx="4">
                  <c:v>Aug 01</c:v>
                </c:pt>
                <c:pt idx="5">
                  <c:v>Aug 02</c:v>
                </c:pt>
                <c:pt idx="6">
                  <c:v>Aug 03</c:v>
                </c:pt>
                <c:pt idx="7">
                  <c:v>Aug 04</c:v>
                </c:pt>
                <c:pt idx="8">
                  <c:v>Aug 05</c:v>
                </c:pt>
                <c:pt idx="9">
                  <c:v>Aug 06</c:v>
                </c:pt>
                <c:pt idx="10">
                  <c:v>Aug 07</c:v>
                </c:pt>
                <c:pt idx="11">
                  <c:v>Aug 08</c:v>
                </c:pt>
                <c:pt idx="12">
                  <c:v>Aug 09</c:v>
                </c:pt>
                <c:pt idx="13">
                  <c:v>Aug 10</c:v>
                </c:pt>
                <c:pt idx="14">
                  <c:v>Aug 11</c:v>
                </c:pt>
                <c:pt idx="15">
                  <c:v>Aug 12</c:v>
                </c:pt>
                <c:pt idx="16">
                  <c:v>Aug 13</c:v>
                </c:pt>
                <c:pt idx="17">
                  <c:v>Aug 14</c:v>
                </c:pt>
                <c:pt idx="18">
                  <c:v>Aug 15</c:v>
                </c:pt>
                <c:pt idx="19">
                  <c:v>Aug 16</c:v>
                </c:pt>
                <c:pt idx="20">
                  <c:v>Aug 17</c:v>
                </c:pt>
                <c:pt idx="21">
                  <c:v>Aug 18</c:v>
                </c:pt>
                <c:pt idx="22">
                  <c:v>Aug 19</c:v>
                </c:pt>
                <c:pt idx="23">
                  <c:v>Aug 20</c:v>
                </c:pt>
                <c:pt idx="24">
                  <c:v>Aug 21</c:v>
                </c:pt>
                <c:pt idx="25">
                  <c:v>Aug 22</c:v>
                </c:pt>
                <c:pt idx="26">
                  <c:v>Aug 23</c:v>
                </c:pt>
                <c:pt idx="27">
                  <c:v>Aug 24</c:v>
                </c:pt>
                <c:pt idx="28">
                  <c:v>Aug 25</c:v>
                </c:pt>
                <c:pt idx="29">
                  <c:v>Aug 26</c:v>
                </c:pt>
                <c:pt idx="30">
                  <c:v>Aug 27</c:v>
                </c:pt>
                <c:pt idx="31">
                  <c:v>Aug 28</c:v>
                </c:pt>
                <c:pt idx="32">
                  <c:v>Aug 29</c:v>
                </c:pt>
                <c:pt idx="33">
                  <c:v>Aug 30</c:v>
                </c:pt>
                <c:pt idx="34">
                  <c:v>Aug 31</c:v>
                </c:pt>
              </c:strCache>
            </c:strRef>
          </c:cat>
          <c:val>
            <c:numRef>
              <c:f>Aug_2026!$N$18:$N$52</c:f>
              <c:numCache>
                <c:formatCode>#,##0</c:formatCode>
                <c:ptCount val="35"/>
                <c:pt idx="0">
                  <c:v>415.99</c:v>
                </c:pt>
                <c:pt idx="1">
                  <c:v>148.76</c:v>
                </c:pt>
                <c:pt idx="2">
                  <c:v>345.7</c:v>
                </c:pt>
                <c:pt idx="3">
                  <c:v>605.87</c:v>
                </c:pt>
                <c:pt idx="4">
                  <c:v>705.96</c:v>
                </c:pt>
                <c:pt idx="5">
                  <c:v>873.55</c:v>
                </c:pt>
                <c:pt idx="6">
                  <c:v>240.17</c:v>
                </c:pt>
                <c:pt idx="7">
                  <c:v>454.35</c:v>
                </c:pt>
                <c:pt idx="8">
                  <c:v>203.19</c:v>
                </c:pt>
                <c:pt idx="9">
                  <c:v>276.13</c:v>
                </c:pt>
                <c:pt idx="10">
                  <c:v>740.94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C7-7844-98B6-1031C0CB1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v>open interest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Aug_2026!$O$18:$O$52</c:f>
              <c:numCache>
                <c:formatCode>#,##0</c:formatCode>
                <c:ptCount val="35"/>
                <c:pt idx="0">
                  <c:v>415.99</c:v>
                </c:pt>
                <c:pt idx="1">
                  <c:v>564.75</c:v>
                </c:pt>
                <c:pt idx="2">
                  <c:v>880.69</c:v>
                </c:pt>
                <c:pt idx="3">
                  <c:v>948.14</c:v>
                </c:pt>
                <c:pt idx="4">
                  <c:v>1582.2</c:v>
                </c:pt>
                <c:pt idx="5">
                  <c:v>1854.83</c:v>
                </c:pt>
                <c:pt idx="6">
                  <c:v>2002.83</c:v>
                </c:pt>
                <c:pt idx="7">
                  <c:v>1889.8</c:v>
                </c:pt>
                <c:pt idx="8">
                  <c:v>1880.61</c:v>
                </c:pt>
                <c:pt idx="9">
                  <c:v>2078.64</c:v>
                </c:pt>
                <c:pt idx="10">
                  <c:v>2648.98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C7-7844-98B6-1031C0CB1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Forecast error — Dev and Dev3 (spike tripwire, ±0.05)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Dev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Aug_2026!$A$18:$A$52</c:f>
              <c:strCache>
                <c:ptCount val="35"/>
                <c:pt idx="0">
                  <c:v>Jul 28</c:v>
                </c:pt>
                <c:pt idx="1">
                  <c:v>Jul 29</c:v>
                </c:pt>
                <c:pt idx="2">
                  <c:v>Jul 30</c:v>
                </c:pt>
                <c:pt idx="3">
                  <c:v>Jul 31</c:v>
                </c:pt>
                <c:pt idx="4">
                  <c:v>Aug 01</c:v>
                </c:pt>
                <c:pt idx="5">
                  <c:v>Aug 02</c:v>
                </c:pt>
                <c:pt idx="6">
                  <c:v>Aug 03</c:v>
                </c:pt>
                <c:pt idx="7">
                  <c:v>Aug 04</c:v>
                </c:pt>
                <c:pt idx="8">
                  <c:v>Aug 05</c:v>
                </c:pt>
                <c:pt idx="9">
                  <c:v>Aug 06</c:v>
                </c:pt>
                <c:pt idx="10">
                  <c:v>Aug 07</c:v>
                </c:pt>
                <c:pt idx="11">
                  <c:v>Aug 08</c:v>
                </c:pt>
                <c:pt idx="12">
                  <c:v>Aug 09</c:v>
                </c:pt>
                <c:pt idx="13">
                  <c:v>Aug 10</c:v>
                </c:pt>
                <c:pt idx="14">
                  <c:v>Aug 11</c:v>
                </c:pt>
                <c:pt idx="15">
                  <c:v>Aug 12</c:v>
                </c:pt>
                <c:pt idx="16">
                  <c:v>Aug 13</c:v>
                </c:pt>
                <c:pt idx="17">
                  <c:v>Aug 14</c:v>
                </c:pt>
                <c:pt idx="18">
                  <c:v>Aug 15</c:v>
                </c:pt>
                <c:pt idx="19">
                  <c:v>Aug 16</c:v>
                </c:pt>
                <c:pt idx="20">
                  <c:v>Aug 17</c:v>
                </c:pt>
                <c:pt idx="21">
                  <c:v>Aug 18</c:v>
                </c:pt>
                <c:pt idx="22">
                  <c:v>Aug 19</c:v>
                </c:pt>
                <c:pt idx="23">
                  <c:v>Aug 20</c:v>
                </c:pt>
                <c:pt idx="24">
                  <c:v>Aug 21</c:v>
                </c:pt>
                <c:pt idx="25">
                  <c:v>Aug 22</c:v>
                </c:pt>
                <c:pt idx="26">
                  <c:v>Aug 23</c:v>
                </c:pt>
                <c:pt idx="27">
                  <c:v>Aug 24</c:v>
                </c:pt>
                <c:pt idx="28">
                  <c:v>Aug 25</c:v>
                </c:pt>
                <c:pt idx="29">
                  <c:v>Aug 26</c:v>
                </c:pt>
                <c:pt idx="30">
                  <c:v>Aug 27</c:v>
                </c:pt>
                <c:pt idx="31">
                  <c:v>Aug 28</c:v>
                </c:pt>
                <c:pt idx="32">
                  <c:v>Aug 29</c:v>
                </c:pt>
                <c:pt idx="33">
                  <c:v>Aug 30</c:v>
                </c:pt>
                <c:pt idx="34">
                  <c:v>Aug 31</c:v>
                </c:pt>
              </c:strCache>
            </c:strRef>
          </c:cat>
          <c:val>
            <c:numRef>
              <c:f>Aug_2026!$D$18:$D$52</c:f>
              <c:numCache>
                <c:formatCode>\+0.000;\-0.000;0.000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8.3199999999999941E-2</c:v>
                </c:pt>
                <c:pt idx="5">
                  <c:v>0.12039999999999995</c:v>
                </c:pt>
                <c:pt idx="6">
                  <c:v>0.11709999999999998</c:v>
                </c:pt>
                <c:pt idx="7">
                  <c:v>4.8499999999999988E-2</c:v>
                </c:pt>
                <c:pt idx="8">
                  <c:v>0.14060000000000006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22-EE41-8899-90B42305F7C6}"/>
            </c:ext>
          </c:extLst>
        </c:ser>
        <c:ser>
          <c:idx val="1"/>
          <c:order val="1"/>
          <c:tx>
            <c:v>Dev3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Aug_2026!$A$18:$A$52</c:f>
              <c:strCache>
                <c:ptCount val="35"/>
                <c:pt idx="0">
                  <c:v>Jul 28</c:v>
                </c:pt>
                <c:pt idx="1">
                  <c:v>Jul 29</c:v>
                </c:pt>
                <c:pt idx="2">
                  <c:v>Jul 30</c:v>
                </c:pt>
                <c:pt idx="3">
                  <c:v>Jul 31</c:v>
                </c:pt>
                <c:pt idx="4">
                  <c:v>Aug 01</c:v>
                </c:pt>
                <c:pt idx="5">
                  <c:v>Aug 02</c:v>
                </c:pt>
                <c:pt idx="6">
                  <c:v>Aug 03</c:v>
                </c:pt>
                <c:pt idx="7">
                  <c:v>Aug 04</c:v>
                </c:pt>
                <c:pt idx="8">
                  <c:v>Aug 05</c:v>
                </c:pt>
                <c:pt idx="9">
                  <c:v>Aug 06</c:v>
                </c:pt>
                <c:pt idx="10">
                  <c:v>Aug 07</c:v>
                </c:pt>
                <c:pt idx="11">
                  <c:v>Aug 08</c:v>
                </c:pt>
                <c:pt idx="12">
                  <c:v>Aug 09</c:v>
                </c:pt>
                <c:pt idx="13">
                  <c:v>Aug 10</c:v>
                </c:pt>
                <c:pt idx="14">
                  <c:v>Aug 11</c:v>
                </c:pt>
                <c:pt idx="15">
                  <c:v>Aug 12</c:v>
                </c:pt>
                <c:pt idx="16">
                  <c:v>Aug 13</c:v>
                </c:pt>
                <c:pt idx="17">
                  <c:v>Aug 14</c:v>
                </c:pt>
                <c:pt idx="18">
                  <c:v>Aug 15</c:v>
                </c:pt>
                <c:pt idx="19">
                  <c:v>Aug 16</c:v>
                </c:pt>
                <c:pt idx="20">
                  <c:v>Aug 17</c:v>
                </c:pt>
                <c:pt idx="21">
                  <c:v>Aug 18</c:v>
                </c:pt>
                <c:pt idx="22">
                  <c:v>Aug 19</c:v>
                </c:pt>
                <c:pt idx="23">
                  <c:v>Aug 20</c:v>
                </c:pt>
                <c:pt idx="24">
                  <c:v>Aug 21</c:v>
                </c:pt>
                <c:pt idx="25">
                  <c:v>Aug 22</c:v>
                </c:pt>
                <c:pt idx="26">
                  <c:v>Aug 23</c:v>
                </c:pt>
                <c:pt idx="27">
                  <c:v>Aug 24</c:v>
                </c:pt>
                <c:pt idx="28">
                  <c:v>Aug 25</c:v>
                </c:pt>
                <c:pt idx="29">
                  <c:v>Aug 26</c:v>
                </c:pt>
                <c:pt idx="30">
                  <c:v>Aug 27</c:v>
                </c:pt>
                <c:pt idx="31">
                  <c:v>Aug 28</c:v>
                </c:pt>
                <c:pt idx="32">
                  <c:v>Aug 29</c:v>
                </c:pt>
                <c:pt idx="33">
                  <c:v>Aug 30</c:v>
                </c:pt>
                <c:pt idx="34">
                  <c:v>Aug 31</c:v>
                </c:pt>
              </c:strCache>
            </c:strRef>
          </c:cat>
          <c:val>
            <c:numRef>
              <c:f>Aug_2026!$E$18:$E$52</c:f>
              <c:numCache>
                <c:formatCode>\+0.000;\-0.000;0.000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0.10689999999999995</c:v>
                </c:pt>
                <c:pt idx="7">
                  <c:v>9.5333333333333312E-2</c:v>
                </c:pt>
                <c:pt idx="8">
                  <c:v>0.10206666666666668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22-EE41-8899-90B42305F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Month-to-date vs record pace — September 2026 (°C vs 1991–2020)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MTD mean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Sep_2026!$A$22:$A$51</c:f>
              <c:strCache>
                <c:ptCount val="30"/>
                <c:pt idx="0">
                  <c:v>Sep 01</c:v>
                </c:pt>
                <c:pt idx="1">
                  <c:v>Sep 02</c:v>
                </c:pt>
                <c:pt idx="2">
                  <c:v>Sep 03</c:v>
                </c:pt>
                <c:pt idx="3">
                  <c:v>Sep 04</c:v>
                </c:pt>
                <c:pt idx="4">
                  <c:v>Sep 05</c:v>
                </c:pt>
                <c:pt idx="5">
                  <c:v>Sep 06</c:v>
                </c:pt>
                <c:pt idx="6">
                  <c:v>Sep 07</c:v>
                </c:pt>
                <c:pt idx="7">
                  <c:v>Sep 08</c:v>
                </c:pt>
                <c:pt idx="8">
                  <c:v>Sep 09</c:v>
                </c:pt>
                <c:pt idx="9">
                  <c:v>Sep 10</c:v>
                </c:pt>
                <c:pt idx="10">
                  <c:v>Sep 11</c:v>
                </c:pt>
                <c:pt idx="11">
                  <c:v>Sep 12</c:v>
                </c:pt>
                <c:pt idx="12">
                  <c:v>Sep 13</c:v>
                </c:pt>
                <c:pt idx="13">
                  <c:v>Sep 14</c:v>
                </c:pt>
                <c:pt idx="14">
                  <c:v>Sep 15</c:v>
                </c:pt>
                <c:pt idx="15">
                  <c:v>Sep 16</c:v>
                </c:pt>
                <c:pt idx="16">
                  <c:v>Sep 17</c:v>
                </c:pt>
                <c:pt idx="17">
                  <c:v>Sep 18</c:v>
                </c:pt>
                <c:pt idx="18">
                  <c:v>Sep 19</c:v>
                </c:pt>
                <c:pt idx="19">
                  <c:v>Sep 20</c:v>
                </c:pt>
                <c:pt idx="20">
                  <c:v>Sep 21</c:v>
                </c:pt>
                <c:pt idx="21">
                  <c:v>Sep 22</c:v>
                </c:pt>
                <c:pt idx="22">
                  <c:v>Sep 23</c:v>
                </c:pt>
                <c:pt idx="23">
                  <c:v>Sep 24</c:v>
                </c:pt>
                <c:pt idx="24">
                  <c:v>Sep 25</c:v>
                </c:pt>
                <c:pt idx="25">
                  <c:v>Sep 26</c:v>
                </c:pt>
                <c:pt idx="26">
                  <c:v>Sep 27</c:v>
                </c:pt>
                <c:pt idx="27">
                  <c:v>Sep 28</c:v>
                </c:pt>
                <c:pt idx="28">
                  <c:v>Sep 29</c:v>
                </c:pt>
                <c:pt idx="29">
                  <c:v>Sep 30</c:v>
                </c:pt>
              </c:strCache>
            </c:strRef>
          </c:cat>
          <c:val>
            <c:numRef>
              <c:f>Sep_2026!$F$22:$F$51</c:f>
              <c:numCache>
                <c:formatCode>\+0.000;\-0.000;0.000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6-2345-BA64-1B75B4490267}"/>
            </c:ext>
          </c:extLst>
        </c:ser>
        <c:ser>
          <c:idx val="1"/>
          <c:order val="1"/>
          <c:tx>
            <c:v>2024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Sep_2026!$A$22:$A$51</c:f>
              <c:strCache>
                <c:ptCount val="30"/>
                <c:pt idx="0">
                  <c:v>Sep 01</c:v>
                </c:pt>
                <c:pt idx="1">
                  <c:v>Sep 02</c:v>
                </c:pt>
                <c:pt idx="2">
                  <c:v>Sep 03</c:v>
                </c:pt>
                <c:pt idx="3">
                  <c:v>Sep 04</c:v>
                </c:pt>
                <c:pt idx="4">
                  <c:v>Sep 05</c:v>
                </c:pt>
                <c:pt idx="5">
                  <c:v>Sep 06</c:v>
                </c:pt>
                <c:pt idx="6">
                  <c:v>Sep 07</c:v>
                </c:pt>
                <c:pt idx="7">
                  <c:v>Sep 08</c:v>
                </c:pt>
                <c:pt idx="8">
                  <c:v>Sep 09</c:v>
                </c:pt>
                <c:pt idx="9">
                  <c:v>Sep 10</c:v>
                </c:pt>
                <c:pt idx="10">
                  <c:v>Sep 11</c:v>
                </c:pt>
                <c:pt idx="11">
                  <c:v>Sep 12</c:v>
                </c:pt>
                <c:pt idx="12">
                  <c:v>Sep 13</c:v>
                </c:pt>
                <c:pt idx="13">
                  <c:v>Sep 14</c:v>
                </c:pt>
                <c:pt idx="14">
                  <c:v>Sep 15</c:v>
                </c:pt>
                <c:pt idx="15">
                  <c:v>Sep 16</c:v>
                </c:pt>
                <c:pt idx="16">
                  <c:v>Sep 17</c:v>
                </c:pt>
                <c:pt idx="17">
                  <c:v>Sep 18</c:v>
                </c:pt>
                <c:pt idx="18">
                  <c:v>Sep 19</c:v>
                </c:pt>
                <c:pt idx="19">
                  <c:v>Sep 20</c:v>
                </c:pt>
                <c:pt idx="20">
                  <c:v>Sep 21</c:v>
                </c:pt>
                <c:pt idx="21">
                  <c:v>Sep 22</c:v>
                </c:pt>
                <c:pt idx="22">
                  <c:v>Sep 23</c:v>
                </c:pt>
                <c:pt idx="23">
                  <c:v>Sep 24</c:v>
                </c:pt>
                <c:pt idx="24">
                  <c:v>Sep 25</c:v>
                </c:pt>
                <c:pt idx="25">
                  <c:v>Sep 26</c:v>
                </c:pt>
                <c:pt idx="26">
                  <c:v>Sep 27</c:v>
                </c:pt>
                <c:pt idx="27">
                  <c:v>Sep 28</c:v>
                </c:pt>
                <c:pt idx="28">
                  <c:v>Sep 29</c:v>
                </c:pt>
                <c:pt idx="29">
                  <c:v>Sep 30</c:v>
                </c:pt>
              </c:strCache>
            </c:strRef>
          </c:cat>
          <c:val>
            <c:numRef>
              <c:f>Sep_2026!$G$22:$G$51</c:f>
              <c:numCache>
                <c:formatCode>\+0.000;\-0.000;0.000</c:formatCode>
                <c:ptCount val="30"/>
                <c:pt idx="0">
                  <c:v>0.78900000000000003</c:v>
                </c:pt>
                <c:pt idx="1">
                  <c:v>0.79549999999999998</c:v>
                </c:pt>
                <c:pt idx="2">
                  <c:v>0.78600000000000003</c:v>
                </c:pt>
                <c:pt idx="3">
                  <c:v>0.76549999999999996</c:v>
                </c:pt>
                <c:pt idx="4">
                  <c:v>0.74399999999999999</c:v>
                </c:pt>
                <c:pt idx="5">
                  <c:v>0.72899999999999998</c:v>
                </c:pt>
                <c:pt idx="6">
                  <c:v>0.72829999999999995</c:v>
                </c:pt>
                <c:pt idx="7">
                  <c:v>0.73109999999999997</c:v>
                </c:pt>
                <c:pt idx="8">
                  <c:v>0.73319999999999996</c:v>
                </c:pt>
                <c:pt idx="9">
                  <c:v>0.73629999999999995</c:v>
                </c:pt>
                <c:pt idx="10">
                  <c:v>0.74070000000000003</c:v>
                </c:pt>
                <c:pt idx="11">
                  <c:v>0.74180000000000001</c:v>
                </c:pt>
                <c:pt idx="12">
                  <c:v>0.74250000000000005</c:v>
                </c:pt>
                <c:pt idx="13">
                  <c:v>0.74019999999999997</c:v>
                </c:pt>
                <c:pt idx="14">
                  <c:v>0.73440000000000005</c:v>
                </c:pt>
                <c:pt idx="15">
                  <c:v>0.72709999999999997</c:v>
                </c:pt>
                <c:pt idx="16">
                  <c:v>0.72089999999999999</c:v>
                </c:pt>
                <c:pt idx="17">
                  <c:v>0.71860000000000002</c:v>
                </c:pt>
                <c:pt idx="18">
                  <c:v>0.71699999999999997</c:v>
                </c:pt>
                <c:pt idx="19">
                  <c:v>0.71299999999999997</c:v>
                </c:pt>
                <c:pt idx="20">
                  <c:v>0.70830000000000004</c:v>
                </c:pt>
                <c:pt idx="21">
                  <c:v>0.70599999999999996</c:v>
                </c:pt>
                <c:pt idx="22">
                  <c:v>0.70399999999999996</c:v>
                </c:pt>
                <c:pt idx="23">
                  <c:v>0.70569999999999999</c:v>
                </c:pt>
                <c:pt idx="24">
                  <c:v>0.70979999999999999</c:v>
                </c:pt>
                <c:pt idx="25">
                  <c:v>0.71430000000000005</c:v>
                </c:pt>
                <c:pt idx="26">
                  <c:v>0.71830000000000005</c:v>
                </c:pt>
                <c:pt idx="27">
                  <c:v>0.72109999999999996</c:v>
                </c:pt>
                <c:pt idx="28">
                  <c:v>0.72289999999999999</c:v>
                </c:pt>
                <c:pt idx="29">
                  <c:v>0.72370000000000001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06-2345-BA64-1B75B4490267}"/>
            </c:ext>
          </c:extLst>
        </c:ser>
        <c:ser>
          <c:idx val="2"/>
          <c:order val="2"/>
          <c:tx>
            <c:v>2023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Sep_2026!$A$22:$A$51</c:f>
              <c:strCache>
                <c:ptCount val="30"/>
                <c:pt idx="0">
                  <c:v>Sep 01</c:v>
                </c:pt>
                <c:pt idx="1">
                  <c:v>Sep 02</c:v>
                </c:pt>
                <c:pt idx="2">
                  <c:v>Sep 03</c:v>
                </c:pt>
                <c:pt idx="3">
                  <c:v>Sep 04</c:v>
                </c:pt>
                <c:pt idx="4">
                  <c:v>Sep 05</c:v>
                </c:pt>
                <c:pt idx="5">
                  <c:v>Sep 06</c:v>
                </c:pt>
                <c:pt idx="6">
                  <c:v>Sep 07</c:v>
                </c:pt>
                <c:pt idx="7">
                  <c:v>Sep 08</c:v>
                </c:pt>
                <c:pt idx="8">
                  <c:v>Sep 09</c:v>
                </c:pt>
                <c:pt idx="9">
                  <c:v>Sep 10</c:v>
                </c:pt>
                <c:pt idx="10">
                  <c:v>Sep 11</c:v>
                </c:pt>
                <c:pt idx="11">
                  <c:v>Sep 12</c:v>
                </c:pt>
                <c:pt idx="12">
                  <c:v>Sep 13</c:v>
                </c:pt>
                <c:pt idx="13">
                  <c:v>Sep 14</c:v>
                </c:pt>
                <c:pt idx="14">
                  <c:v>Sep 15</c:v>
                </c:pt>
                <c:pt idx="15">
                  <c:v>Sep 16</c:v>
                </c:pt>
                <c:pt idx="16">
                  <c:v>Sep 17</c:v>
                </c:pt>
                <c:pt idx="17">
                  <c:v>Sep 18</c:v>
                </c:pt>
                <c:pt idx="18">
                  <c:v>Sep 19</c:v>
                </c:pt>
                <c:pt idx="19">
                  <c:v>Sep 20</c:v>
                </c:pt>
                <c:pt idx="20">
                  <c:v>Sep 21</c:v>
                </c:pt>
                <c:pt idx="21">
                  <c:v>Sep 22</c:v>
                </c:pt>
                <c:pt idx="22">
                  <c:v>Sep 23</c:v>
                </c:pt>
                <c:pt idx="23">
                  <c:v>Sep 24</c:v>
                </c:pt>
                <c:pt idx="24">
                  <c:v>Sep 25</c:v>
                </c:pt>
                <c:pt idx="25">
                  <c:v>Sep 26</c:v>
                </c:pt>
                <c:pt idx="26">
                  <c:v>Sep 27</c:v>
                </c:pt>
                <c:pt idx="27">
                  <c:v>Sep 28</c:v>
                </c:pt>
                <c:pt idx="28">
                  <c:v>Sep 29</c:v>
                </c:pt>
                <c:pt idx="29">
                  <c:v>Sep 30</c:v>
                </c:pt>
              </c:strCache>
            </c:strRef>
          </c:cat>
          <c:val>
            <c:numRef>
              <c:f>Sep_2026!$H$22:$H$51</c:f>
              <c:numCache>
                <c:formatCode>\+0.000;\-0.000;0.000</c:formatCode>
                <c:ptCount val="30"/>
                <c:pt idx="0">
                  <c:v>0.71699999999999997</c:v>
                </c:pt>
                <c:pt idx="1">
                  <c:v>0.72850000000000004</c:v>
                </c:pt>
                <c:pt idx="2">
                  <c:v>0.71499999999999997</c:v>
                </c:pt>
                <c:pt idx="3">
                  <c:v>0.70050000000000001</c:v>
                </c:pt>
                <c:pt idx="4">
                  <c:v>0.69099999999999995</c:v>
                </c:pt>
                <c:pt idx="5">
                  <c:v>0.69950000000000001</c:v>
                </c:pt>
                <c:pt idx="6">
                  <c:v>0.70989999999999998</c:v>
                </c:pt>
                <c:pt idx="7">
                  <c:v>0.71809999999999996</c:v>
                </c:pt>
                <c:pt idx="8">
                  <c:v>0.73240000000000005</c:v>
                </c:pt>
                <c:pt idx="9">
                  <c:v>0.75139999999999996</c:v>
                </c:pt>
                <c:pt idx="10">
                  <c:v>0.77210000000000001</c:v>
                </c:pt>
                <c:pt idx="11">
                  <c:v>0.78510000000000002</c:v>
                </c:pt>
                <c:pt idx="12">
                  <c:v>0.79320000000000002</c:v>
                </c:pt>
                <c:pt idx="13">
                  <c:v>0.80189999999999995</c:v>
                </c:pt>
                <c:pt idx="14">
                  <c:v>0.81569999999999998</c:v>
                </c:pt>
                <c:pt idx="15">
                  <c:v>0.83169999999999999</c:v>
                </c:pt>
                <c:pt idx="16">
                  <c:v>0.8448</c:v>
                </c:pt>
                <c:pt idx="17">
                  <c:v>0.85350000000000004</c:v>
                </c:pt>
                <c:pt idx="18">
                  <c:v>0.85960000000000003</c:v>
                </c:pt>
                <c:pt idx="19">
                  <c:v>0.86580000000000001</c:v>
                </c:pt>
                <c:pt idx="20">
                  <c:v>0.87439999999999996</c:v>
                </c:pt>
                <c:pt idx="21">
                  <c:v>0.88449999999999995</c:v>
                </c:pt>
                <c:pt idx="22">
                  <c:v>0.89370000000000005</c:v>
                </c:pt>
                <c:pt idx="23">
                  <c:v>0.9022</c:v>
                </c:pt>
                <c:pt idx="24">
                  <c:v>0.90820000000000001</c:v>
                </c:pt>
                <c:pt idx="25">
                  <c:v>0.91349999999999998</c:v>
                </c:pt>
                <c:pt idx="26">
                  <c:v>0.91769999999999996</c:v>
                </c:pt>
                <c:pt idx="27">
                  <c:v>0.92169999999999996</c:v>
                </c:pt>
                <c:pt idx="28">
                  <c:v>0.92459999999999998</c:v>
                </c:pt>
                <c:pt idx="29">
                  <c:v>0.92630000000000001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06-2345-BA64-1B75B4490267}"/>
            </c:ext>
          </c:extLst>
        </c:ser>
        <c:ser>
          <c:idx val="3"/>
          <c:order val="3"/>
          <c:tx>
            <c:v>record pace +0.927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Sep_2026!$A$22:$A$51</c:f>
              <c:strCache>
                <c:ptCount val="30"/>
                <c:pt idx="0">
                  <c:v>Sep 01</c:v>
                </c:pt>
                <c:pt idx="1">
                  <c:v>Sep 02</c:v>
                </c:pt>
                <c:pt idx="2">
                  <c:v>Sep 03</c:v>
                </c:pt>
                <c:pt idx="3">
                  <c:v>Sep 04</c:v>
                </c:pt>
                <c:pt idx="4">
                  <c:v>Sep 05</c:v>
                </c:pt>
                <c:pt idx="5">
                  <c:v>Sep 06</c:v>
                </c:pt>
                <c:pt idx="6">
                  <c:v>Sep 07</c:v>
                </c:pt>
                <c:pt idx="7">
                  <c:v>Sep 08</c:v>
                </c:pt>
                <c:pt idx="8">
                  <c:v>Sep 09</c:v>
                </c:pt>
                <c:pt idx="9">
                  <c:v>Sep 10</c:v>
                </c:pt>
                <c:pt idx="10">
                  <c:v>Sep 11</c:v>
                </c:pt>
                <c:pt idx="11">
                  <c:v>Sep 12</c:v>
                </c:pt>
                <c:pt idx="12">
                  <c:v>Sep 13</c:v>
                </c:pt>
                <c:pt idx="13">
                  <c:v>Sep 14</c:v>
                </c:pt>
                <c:pt idx="14">
                  <c:v>Sep 15</c:v>
                </c:pt>
                <c:pt idx="15">
                  <c:v>Sep 16</c:v>
                </c:pt>
                <c:pt idx="16">
                  <c:v>Sep 17</c:v>
                </c:pt>
                <c:pt idx="17">
                  <c:v>Sep 18</c:v>
                </c:pt>
                <c:pt idx="18">
                  <c:v>Sep 19</c:v>
                </c:pt>
                <c:pt idx="19">
                  <c:v>Sep 20</c:v>
                </c:pt>
                <c:pt idx="20">
                  <c:v>Sep 21</c:v>
                </c:pt>
                <c:pt idx="21">
                  <c:v>Sep 22</c:v>
                </c:pt>
                <c:pt idx="22">
                  <c:v>Sep 23</c:v>
                </c:pt>
                <c:pt idx="23">
                  <c:v>Sep 24</c:v>
                </c:pt>
                <c:pt idx="24">
                  <c:v>Sep 25</c:v>
                </c:pt>
                <c:pt idx="25">
                  <c:v>Sep 26</c:v>
                </c:pt>
                <c:pt idx="26">
                  <c:v>Sep 27</c:v>
                </c:pt>
                <c:pt idx="27">
                  <c:v>Sep 28</c:v>
                </c:pt>
                <c:pt idx="28">
                  <c:v>Sep 29</c:v>
                </c:pt>
                <c:pt idx="29">
                  <c:v>Sep 30</c:v>
                </c:pt>
              </c:strCache>
            </c:strRef>
          </c:cat>
          <c:val>
            <c:numRef>
              <c:f>Sep_2026!$R$22:$R$51</c:f>
              <c:numCache>
                <c:formatCode>\+0.000;\-0.000;0.000</c:formatCode>
                <c:ptCount val="30"/>
                <c:pt idx="0">
                  <c:v>0.92666818492370773</c:v>
                </c:pt>
                <c:pt idx="1">
                  <c:v>0.92666818492370773</c:v>
                </c:pt>
                <c:pt idx="2">
                  <c:v>0.92666818492370773</c:v>
                </c:pt>
                <c:pt idx="3">
                  <c:v>0.92666818492370773</c:v>
                </c:pt>
                <c:pt idx="4">
                  <c:v>0.92666818492370773</c:v>
                </c:pt>
                <c:pt idx="5">
                  <c:v>0.92666818492370773</c:v>
                </c:pt>
                <c:pt idx="6">
                  <c:v>0.92666818492370773</c:v>
                </c:pt>
                <c:pt idx="7">
                  <c:v>0.92666818492370773</c:v>
                </c:pt>
                <c:pt idx="8">
                  <c:v>0.92666818492370773</c:v>
                </c:pt>
                <c:pt idx="9">
                  <c:v>0.92666818492370773</c:v>
                </c:pt>
                <c:pt idx="10">
                  <c:v>0.92666818492370773</c:v>
                </c:pt>
                <c:pt idx="11">
                  <c:v>0.92666818492370773</c:v>
                </c:pt>
                <c:pt idx="12">
                  <c:v>0.92666818492370773</c:v>
                </c:pt>
                <c:pt idx="13">
                  <c:v>0.92666818492370773</c:v>
                </c:pt>
                <c:pt idx="14">
                  <c:v>0.92666818492370773</c:v>
                </c:pt>
                <c:pt idx="15">
                  <c:v>0.92666818492370773</c:v>
                </c:pt>
                <c:pt idx="16">
                  <c:v>0.92666818492370773</c:v>
                </c:pt>
                <c:pt idx="17">
                  <c:v>0.92666818492370773</c:v>
                </c:pt>
                <c:pt idx="18">
                  <c:v>0.92666818492370773</c:v>
                </c:pt>
                <c:pt idx="19">
                  <c:v>0.92666818492370773</c:v>
                </c:pt>
                <c:pt idx="20">
                  <c:v>0.92666818492370773</c:v>
                </c:pt>
                <c:pt idx="21">
                  <c:v>0.92666818492370773</c:v>
                </c:pt>
                <c:pt idx="22">
                  <c:v>0.92666818492370773</c:v>
                </c:pt>
                <c:pt idx="23">
                  <c:v>0.92666818492370773</c:v>
                </c:pt>
                <c:pt idx="24">
                  <c:v>0.92666818492370773</c:v>
                </c:pt>
                <c:pt idx="25">
                  <c:v>0.92666818492370773</c:v>
                </c:pt>
                <c:pt idx="26">
                  <c:v>0.92666818492370773</c:v>
                </c:pt>
                <c:pt idx="27">
                  <c:v>0.92666818492370773</c:v>
                </c:pt>
                <c:pt idx="28">
                  <c:v>0.92666818492370773</c:v>
                </c:pt>
                <c:pt idx="29">
                  <c:v>0.92666818492370773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06-2345-BA64-1B75B4490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Model vs market — YES in cents (gap = edge)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model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Sep_2026!$A$18:$A$51</c:f>
              <c:strCache>
                <c:ptCount val="34"/>
                <c:pt idx="0">
                  <c:v>Aug 28</c:v>
                </c:pt>
                <c:pt idx="1">
                  <c:v>Aug 29</c:v>
                </c:pt>
                <c:pt idx="2">
                  <c:v>Aug 30</c:v>
                </c:pt>
                <c:pt idx="3">
                  <c:v>Aug 31</c:v>
                </c:pt>
                <c:pt idx="4">
                  <c:v>Sep 01</c:v>
                </c:pt>
                <c:pt idx="5">
                  <c:v>Sep 02</c:v>
                </c:pt>
                <c:pt idx="6">
                  <c:v>Sep 03</c:v>
                </c:pt>
                <c:pt idx="7">
                  <c:v>Sep 04</c:v>
                </c:pt>
                <c:pt idx="8">
                  <c:v>Sep 05</c:v>
                </c:pt>
                <c:pt idx="9">
                  <c:v>Sep 06</c:v>
                </c:pt>
                <c:pt idx="10">
                  <c:v>Sep 07</c:v>
                </c:pt>
                <c:pt idx="11">
                  <c:v>Sep 08</c:v>
                </c:pt>
                <c:pt idx="12">
                  <c:v>Sep 09</c:v>
                </c:pt>
                <c:pt idx="13">
                  <c:v>Sep 10</c:v>
                </c:pt>
                <c:pt idx="14">
                  <c:v>Sep 11</c:v>
                </c:pt>
                <c:pt idx="15">
                  <c:v>Sep 12</c:v>
                </c:pt>
                <c:pt idx="16">
                  <c:v>Sep 13</c:v>
                </c:pt>
                <c:pt idx="17">
                  <c:v>Sep 14</c:v>
                </c:pt>
                <c:pt idx="18">
                  <c:v>Sep 15</c:v>
                </c:pt>
                <c:pt idx="19">
                  <c:v>Sep 16</c:v>
                </c:pt>
                <c:pt idx="20">
                  <c:v>Sep 17</c:v>
                </c:pt>
                <c:pt idx="21">
                  <c:v>Sep 18</c:v>
                </c:pt>
                <c:pt idx="22">
                  <c:v>Sep 19</c:v>
                </c:pt>
                <c:pt idx="23">
                  <c:v>Sep 20</c:v>
                </c:pt>
                <c:pt idx="24">
                  <c:v>Sep 21</c:v>
                </c:pt>
                <c:pt idx="25">
                  <c:v>Sep 22</c:v>
                </c:pt>
                <c:pt idx="26">
                  <c:v>Sep 23</c:v>
                </c:pt>
                <c:pt idx="27">
                  <c:v>Sep 24</c:v>
                </c:pt>
                <c:pt idx="28">
                  <c:v>Sep 25</c:v>
                </c:pt>
                <c:pt idx="29">
                  <c:v>Sep 26</c:v>
                </c:pt>
                <c:pt idx="30">
                  <c:v>Sep 27</c:v>
                </c:pt>
                <c:pt idx="31">
                  <c:v>Sep 28</c:v>
                </c:pt>
                <c:pt idx="32">
                  <c:v>Sep 29</c:v>
                </c:pt>
                <c:pt idx="33">
                  <c:v>Sep 30</c:v>
                </c:pt>
              </c:strCache>
            </c:strRef>
          </c:cat>
          <c:val>
            <c:numRef>
              <c:f>Sep_2026!$S$18:$S$51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54-7F47-95C5-46A14ABFC9FA}"/>
            </c:ext>
          </c:extLst>
        </c:ser>
        <c:ser>
          <c:idx val="1"/>
          <c:order val="1"/>
          <c:tx>
            <c:v>market YES ¢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Sep_2026!$A$18:$A$51</c:f>
              <c:strCache>
                <c:ptCount val="34"/>
                <c:pt idx="0">
                  <c:v>Aug 28</c:v>
                </c:pt>
                <c:pt idx="1">
                  <c:v>Aug 29</c:v>
                </c:pt>
                <c:pt idx="2">
                  <c:v>Aug 30</c:v>
                </c:pt>
                <c:pt idx="3">
                  <c:v>Aug 31</c:v>
                </c:pt>
                <c:pt idx="4">
                  <c:v>Sep 01</c:v>
                </c:pt>
                <c:pt idx="5">
                  <c:v>Sep 02</c:v>
                </c:pt>
                <c:pt idx="6">
                  <c:v>Sep 03</c:v>
                </c:pt>
                <c:pt idx="7">
                  <c:v>Sep 04</c:v>
                </c:pt>
                <c:pt idx="8">
                  <c:v>Sep 05</c:v>
                </c:pt>
                <c:pt idx="9">
                  <c:v>Sep 06</c:v>
                </c:pt>
                <c:pt idx="10">
                  <c:v>Sep 07</c:v>
                </c:pt>
                <c:pt idx="11">
                  <c:v>Sep 08</c:v>
                </c:pt>
                <c:pt idx="12">
                  <c:v>Sep 09</c:v>
                </c:pt>
                <c:pt idx="13">
                  <c:v>Sep 10</c:v>
                </c:pt>
                <c:pt idx="14">
                  <c:v>Sep 11</c:v>
                </c:pt>
                <c:pt idx="15">
                  <c:v>Sep 12</c:v>
                </c:pt>
                <c:pt idx="16">
                  <c:v>Sep 13</c:v>
                </c:pt>
                <c:pt idx="17">
                  <c:v>Sep 14</c:v>
                </c:pt>
                <c:pt idx="18">
                  <c:v>Sep 15</c:v>
                </c:pt>
                <c:pt idx="19">
                  <c:v>Sep 16</c:v>
                </c:pt>
                <c:pt idx="20">
                  <c:v>Sep 17</c:v>
                </c:pt>
                <c:pt idx="21">
                  <c:v>Sep 18</c:v>
                </c:pt>
                <c:pt idx="22">
                  <c:v>Sep 19</c:v>
                </c:pt>
                <c:pt idx="23">
                  <c:v>Sep 20</c:v>
                </c:pt>
                <c:pt idx="24">
                  <c:v>Sep 21</c:v>
                </c:pt>
                <c:pt idx="25">
                  <c:v>Sep 22</c:v>
                </c:pt>
                <c:pt idx="26">
                  <c:v>Sep 23</c:v>
                </c:pt>
                <c:pt idx="27">
                  <c:v>Sep 24</c:v>
                </c:pt>
                <c:pt idx="28">
                  <c:v>Sep 25</c:v>
                </c:pt>
                <c:pt idx="29">
                  <c:v>Sep 26</c:v>
                </c:pt>
                <c:pt idx="30">
                  <c:v>Sep 27</c:v>
                </c:pt>
                <c:pt idx="31">
                  <c:v>Sep 28</c:v>
                </c:pt>
                <c:pt idx="32">
                  <c:v>Sep 29</c:v>
                </c:pt>
                <c:pt idx="33">
                  <c:v>Sep 30</c:v>
                </c:pt>
              </c:strCache>
            </c:strRef>
          </c:cat>
          <c:val>
            <c:numRef>
              <c:f>Sep_2026!$L$18:$L$51</c:f>
              <c:numCache>
                <c:formatCode>0.0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54-7F47-95C5-46A14ABFC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Volume and open interest — KXHMONTH-26SEP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volume</c:v>
          </c:tx>
          <c:spPr>
            <a:ln>
              <a:prstDash val="solid"/>
            </a:ln>
          </c:spPr>
          <c:invertIfNegative val="1"/>
          <c:cat>
            <c:strRef>
              <c:f>Sep_2026!$A$18:$A$51</c:f>
              <c:strCache>
                <c:ptCount val="34"/>
                <c:pt idx="0">
                  <c:v>Aug 28</c:v>
                </c:pt>
                <c:pt idx="1">
                  <c:v>Aug 29</c:v>
                </c:pt>
                <c:pt idx="2">
                  <c:v>Aug 30</c:v>
                </c:pt>
                <c:pt idx="3">
                  <c:v>Aug 31</c:v>
                </c:pt>
                <c:pt idx="4">
                  <c:v>Sep 01</c:v>
                </c:pt>
                <c:pt idx="5">
                  <c:v>Sep 02</c:v>
                </c:pt>
                <c:pt idx="6">
                  <c:v>Sep 03</c:v>
                </c:pt>
                <c:pt idx="7">
                  <c:v>Sep 04</c:v>
                </c:pt>
                <c:pt idx="8">
                  <c:v>Sep 05</c:v>
                </c:pt>
                <c:pt idx="9">
                  <c:v>Sep 06</c:v>
                </c:pt>
                <c:pt idx="10">
                  <c:v>Sep 07</c:v>
                </c:pt>
                <c:pt idx="11">
                  <c:v>Sep 08</c:v>
                </c:pt>
                <c:pt idx="12">
                  <c:v>Sep 09</c:v>
                </c:pt>
                <c:pt idx="13">
                  <c:v>Sep 10</c:v>
                </c:pt>
                <c:pt idx="14">
                  <c:v>Sep 11</c:v>
                </c:pt>
                <c:pt idx="15">
                  <c:v>Sep 12</c:v>
                </c:pt>
                <c:pt idx="16">
                  <c:v>Sep 13</c:v>
                </c:pt>
                <c:pt idx="17">
                  <c:v>Sep 14</c:v>
                </c:pt>
                <c:pt idx="18">
                  <c:v>Sep 15</c:v>
                </c:pt>
                <c:pt idx="19">
                  <c:v>Sep 16</c:v>
                </c:pt>
                <c:pt idx="20">
                  <c:v>Sep 17</c:v>
                </c:pt>
                <c:pt idx="21">
                  <c:v>Sep 18</c:v>
                </c:pt>
                <c:pt idx="22">
                  <c:v>Sep 19</c:v>
                </c:pt>
                <c:pt idx="23">
                  <c:v>Sep 20</c:v>
                </c:pt>
                <c:pt idx="24">
                  <c:v>Sep 21</c:v>
                </c:pt>
                <c:pt idx="25">
                  <c:v>Sep 22</c:v>
                </c:pt>
                <c:pt idx="26">
                  <c:v>Sep 23</c:v>
                </c:pt>
                <c:pt idx="27">
                  <c:v>Sep 24</c:v>
                </c:pt>
                <c:pt idx="28">
                  <c:v>Sep 25</c:v>
                </c:pt>
                <c:pt idx="29">
                  <c:v>Sep 26</c:v>
                </c:pt>
                <c:pt idx="30">
                  <c:v>Sep 27</c:v>
                </c:pt>
                <c:pt idx="31">
                  <c:v>Sep 28</c:v>
                </c:pt>
                <c:pt idx="32">
                  <c:v>Sep 29</c:v>
                </c:pt>
                <c:pt idx="33">
                  <c:v>Sep 30</c:v>
                </c:pt>
              </c:strCache>
            </c:strRef>
          </c:cat>
          <c:val>
            <c:numRef>
              <c:f>Sep_2026!$N$18:$N$51</c:f>
              <c:numCache>
                <c:formatCode>#,##0</c:formatCode>
                <c:ptCount val="34"/>
              </c:numCache>
            </c:numRef>
          </c:val>
          <c:extLst>
            <c:ext xmlns:c16="http://schemas.microsoft.com/office/drawing/2014/chart" uri="{C3380CC4-5D6E-409C-BE32-E72D297353CC}">
              <c16:uniqueId val="{00000000-A735-3841-98A9-BAF139CCF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v>open interest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Sep_2026!$O$18:$O$51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35-3841-98A9-BAF139CCF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Forecast error — Dev and Dev3 (spike tripwire, ±0.05)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Dev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Sep_2026!$A$18:$A$51</c:f>
              <c:strCache>
                <c:ptCount val="34"/>
                <c:pt idx="0">
                  <c:v>Aug 28</c:v>
                </c:pt>
                <c:pt idx="1">
                  <c:v>Aug 29</c:v>
                </c:pt>
                <c:pt idx="2">
                  <c:v>Aug 30</c:v>
                </c:pt>
                <c:pt idx="3">
                  <c:v>Aug 31</c:v>
                </c:pt>
                <c:pt idx="4">
                  <c:v>Sep 01</c:v>
                </c:pt>
                <c:pt idx="5">
                  <c:v>Sep 02</c:v>
                </c:pt>
                <c:pt idx="6">
                  <c:v>Sep 03</c:v>
                </c:pt>
                <c:pt idx="7">
                  <c:v>Sep 04</c:v>
                </c:pt>
                <c:pt idx="8">
                  <c:v>Sep 05</c:v>
                </c:pt>
                <c:pt idx="9">
                  <c:v>Sep 06</c:v>
                </c:pt>
                <c:pt idx="10">
                  <c:v>Sep 07</c:v>
                </c:pt>
                <c:pt idx="11">
                  <c:v>Sep 08</c:v>
                </c:pt>
                <c:pt idx="12">
                  <c:v>Sep 09</c:v>
                </c:pt>
                <c:pt idx="13">
                  <c:v>Sep 10</c:v>
                </c:pt>
                <c:pt idx="14">
                  <c:v>Sep 11</c:v>
                </c:pt>
                <c:pt idx="15">
                  <c:v>Sep 12</c:v>
                </c:pt>
                <c:pt idx="16">
                  <c:v>Sep 13</c:v>
                </c:pt>
                <c:pt idx="17">
                  <c:v>Sep 14</c:v>
                </c:pt>
                <c:pt idx="18">
                  <c:v>Sep 15</c:v>
                </c:pt>
                <c:pt idx="19">
                  <c:v>Sep 16</c:v>
                </c:pt>
                <c:pt idx="20">
                  <c:v>Sep 17</c:v>
                </c:pt>
                <c:pt idx="21">
                  <c:v>Sep 18</c:v>
                </c:pt>
                <c:pt idx="22">
                  <c:v>Sep 19</c:v>
                </c:pt>
                <c:pt idx="23">
                  <c:v>Sep 20</c:v>
                </c:pt>
                <c:pt idx="24">
                  <c:v>Sep 21</c:v>
                </c:pt>
                <c:pt idx="25">
                  <c:v>Sep 22</c:v>
                </c:pt>
                <c:pt idx="26">
                  <c:v>Sep 23</c:v>
                </c:pt>
                <c:pt idx="27">
                  <c:v>Sep 24</c:v>
                </c:pt>
                <c:pt idx="28">
                  <c:v>Sep 25</c:v>
                </c:pt>
                <c:pt idx="29">
                  <c:v>Sep 26</c:v>
                </c:pt>
                <c:pt idx="30">
                  <c:v>Sep 27</c:v>
                </c:pt>
                <c:pt idx="31">
                  <c:v>Sep 28</c:v>
                </c:pt>
                <c:pt idx="32">
                  <c:v>Sep 29</c:v>
                </c:pt>
                <c:pt idx="33">
                  <c:v>Sep 30</c:v>
                </c:pt>
              </c:strCache>
            </c:strRef>
          </c:cat>
          <c:val>
            <c:numRef>
              <c:f>Sep_2026!$D$18:$D$51</c:f>
              <c:numCache>
                <c:formatCode>\+0.000;\-0.000;0.000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5-9742-AC6B-7D5268FDFB74}"/>
            </c:ext>
          </c:extLst>
        </c:ser>
        <c:ser>
          <c:idx val="1"/>
          <c:order val="1"/>
          <c:tx>
            <c:v>Dev3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Sep_2026!$A$18:$A$51</c:f>
              <c:strCache>
                <c:ptCount val="34"/>
                <c:pt idx="0">
                  <c:v>Aug 28</c:v>
                </c:pt>
                <c:pt idx="1">
                  <c:v>Aug 29</c:v>
                </c:pt>
                <c:pt idx="2">
                  <c:v>Aug 30</c:v>
                </c:pt>
                <c:pt idx="3">
                  <c:v>Aug 31</c:v>
                </c:pt>
                <c:pt idx="4">
                  <c:v>Sep 01</c:v>
                </c:pt>
                <c:pt idx="5">
                  <c:v>Sep 02</c:v>
                </c:pt>
                <c:pt idx="6">
                  <c:v>Sep 03</c:v>
                </c:pt>
                <c:pt idx="7">
                  <c:v>Sep 04</c:v>
                </c:pt>
                <c:pt idx="8">
                  <c:v>Sep 05</c:v>
                </c:pt>
                <c:pt idx="9">
                  <c:v>Sep 06</c:v>
                </c:pt>
                <c:pt idx="10">
                  <c:v>Sep 07</c:v>
                </c:pt>
                <c:pt idx="11">
                  <c:v>Sep 08</c:v>
                </c:pt>
                <c:pt idx="12">
                  <c:v>Sep 09</c:v>
                </c:pt>
                <c:pt idx="13">
                  <c:v>Sep 10</c:v>
                </c:pt>
                <c:pt idx="14">
                  <c:v>Sep 11</c:v>
                </c:pt>
                <c:pt idx="15">
                  <c:v>Sep 12</c:v>
                </c:pt>
                <c:pt idx="16">
                  <c:v>Sep 13</c:v>
                </c:pt>
                <c:pt idx="17">
                  <c:v>Sep 14</c:v>
                </c:pt>
                <c:pt idx="18">
                  <c:v>Sep 15</c:v>
                </c:pt>
                <c:pt idx="19">
                  <c:v>Sep 16</c:v>
                </c:pt>
                <c:pt idx="20">
                  <c:v>Sep 17</c:v>
                </c:pt>
                <c:pt idx="21">
                  <c:v>Sep 18</c:v>
                </c:pt>
                <c:pt idx="22">
                  <c:v>Sep 19</c:v>
                </c:pt>
                <c:pt idx="23">
                  <c:v>Sep 20</c:v>
                </c:pt>
                <c:pt idx="24">
                  <c:v>Sep 21</c:v>
                </c:pt>
                <c:pt idx="25">
                  <c:v>Sep 22</c:v>
                </c:pt>
                <c:pt idx="26">
                  <c:v>Sep 23</c:v>
                </c:pt>
                <c:pt idx="27">
                  <c:v>Sep 24</c:v>
                </c:pt>
                <c:pt idx="28">
                  <c:v>Sep 25</c:v>
                </c:pt>
                <c:pt idx="29">
                  <c:v>Sep 26</c:v>
                </c:pt>
                <c:pt idx="30">
                  <c:v>Sep 27</c:v>
                </c:pt>
                <c:pt idx="31">
                  <c:v>Sep 28</c:v>
                </c:pt>
                <c:pt idx="32">
                  <c:v>Sep 29</c:v>
                </c:pt>
                <c:pt idx="33">
                  <c:v>Sep 30</c:v>
                </c:pt>
              </c:strCache>
            </c:strRef>
          </c:cat>
          <c:val>
            <c:numRef>
              <c:f>Sep_2026!$E$18:$E$51</c:f>
              <c:numCache>
                <c:formatCode>\+0.000;\-0.000;0.000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85-9742-AC6B-7D5268FDF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3"/>
        <c:tickMarkSkip val="3"/>
        <c:noMultiLvlLbl val="1"/>
      </c:catAx>
      <c:valAx>
        <c:axId val="100"/>
        <c:scaling>
          <c:orientation val="minMax"/>
        </c:scaling>
        <c:delete val="0"/>
        <c:axPos val="l"/>
        <c:numFmt formatCode="\+0.000;\-0.000;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93</xdr:row>
      <xdr:rowOff>0</xdr:rowOff>
    </xdr:from>
    <xdr:ext cx="648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93</xdr:row>
      <xdr:rowOff>0</xdr:rowOff>
    </xdr:from>
    <xdr:ext cx="648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111</xdr:row>
      <xdr:rowOff>0</xdr:rowOff>
    </xdr:from>
    <xdr:ext cx="648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111</xdr:row>
      <xdr:rowOff>0</xdr:rowOff>
    </xdr:from>
    <xdr:ext cx="648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94</xdr:row>
      <xdr:rowOff>0</xdr:rowOff>
    </xdr:from>
    <xdr:ext cx="648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94</xdr:row>
      <xdr:rowOff>0</xdr:rowOff>
    </xdr:from>
    <xdr:ext cx="648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112</xdr:row>
      <xdr:rowOff>0</xdr:rowOff>
    </xdr:from>
    <xdr:ext cx="648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112</xdr:row>
      <xdr:rowOff>0</xdr:rowOff>
    </xdr:from>
    <xdr:ext cx="648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94</xdr:row>
      <xdr:rowOff>0</xdr:rowOff>
    </xdr:from>
    <xdr:ext cx="5345165" cy="237252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480866</xdr:colOff>
      <xdr:row>66</xdr:row>
      <xdr:rowOff>32633</xdr:rowOff>
    </xdr:from>
    <xdr:ext cx="5638243" cy="279120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199900</xdr:colOff>
      <xdr:row>84</xdr:row>
      <xdr:rowOff>36942</xdr:rowOff>
    </xdr:from>
    <xdr:ext cx="648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181429</xdr:colOff>
      <xdr:row>53</xdr:row>
      <xdr:rowOff>125604</xdr:rowOff>
    </xdr:from>
    <xdr:ext cx="5582417" cy="19398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93</xdr:row>
      <xdr:rowOff>0</xdr:rowOff>
    </xdr:from>
    <xdr:ext cx="648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93</xdr:row>
      <xdr:rowOff>0</xdr:rowOff>
    </xdr:from>
    <xdr:ext cx="648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111</xdr:row>
      <xdr:rowOff>0</xdr:rowOff>
    </xdr:from>
    <xdr:ext cx="6480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111</xdr:row>
      <xdr:rowOff>0</xdr:rowOff>
    </xdr:from>
    <xdr:ext cx="6480000" cy="30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topLeftCell="A12" zoomScaleNormal="269" workbookViewId="0">
      <selection activeCell="R9" sqref="R9"/>
    </sheetView>
  </sheetViews>
  <sheetFormatPr baseColWidth="10" defaultColWidth="6.5" defaultRowHeight="15" x14ac:dyDescent="0.2"/>
  <cols>
    <col min="1" max="1" width="6.1640625" style="53" bestFit="1" customWidth="1"/>
    <col min="2" max="2" width="9.33203125" style="53" bestFit="1" customWidth="1"/>
    <col min="3" max="3" width="10.83203125" style="53" bestFit="1" customWidth="1"/>
    <col min="4" max="4" width="7.6640625" style="53" bestFit="1" customWidth="1"/>
    <col min="5" max="5" width="7.33203125" style="53" bestFit="1" customWidth="1"/>
    <col min="6" max="6" width="8.5" style="53" bestFit="1" customWidth="1"/>
    <col min="7" max="7" width="6.5" style="53" bestFit="1" customWidth="1"/>
    <col min="8" max="8" width="6.6640625" style="53" bestFit="1" customWidth="1"/>
    <col min="9" max="9" width="9.83203125" style="53" bestFit="1" customWidth="1"/>
    <col min="10" max="10" width="6.1640625" style="53" bestFit="1" customWidth="1"/>
    <col min="11" max="11" width="7.83203125" style="53" bestFit="1" customWidth="1"/>
    <col min="12" max="12" width="8.5" style="53" bestFit="1" customWidth="1"/>
    <col min="13" max="13" width="6.1640625" style="53" bestFit="1" customWidth="1"/>
    <col min="14" max="14" width="6.6640625" style="53" bestFit="1" customWidth="1"/>
    <col min="15" max="15" width="7.6640625" style="53" bestFit="1" customWidth="1"/>
    <col min="16" max="16" width="5.6640625" style="53" bestFit="1" customWidth="1"/>
    <col min="17" max="17" width="7.6640625" style="53" bestFit="1" customWidth="1"/>
    <col min="18" max="18" width="6.5" style="53" customWidth="1"/>
    <col min="19" max="19" width="8" customWidth="1"/>
    <col min="20" max="24" width="6.5" style="53" customWidth="1"/>
    <col min="25" max="16384" width="6.5" style="53"/>
  </cols>
  <sheetData>
    <row r="1" spans="1:19" ht="24" customHeight="1" x14ac:dyDescent="0.2">
      <c r="A1" s="171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S1" s="53"/>
    </row>
    <row r="2" spans="1:19" x14ac:dyDescent="0.2">
      <c r="A2" s="172" t="s">
        <v>1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S2" s="53"/>
    </row>
    <row r="3" spans="1:19" x14ac:dyDescent="0.2">
      <c r="A3" s="168" t="s">
        <v>2</v>
      </c>
      <c r="B3" s="169"/>
      <c r="C3" s="169"/>
      <c r="D3" s="169"/>
      <c r="E3" s="168" t="s">
        <v>3</v>
      </c>
      <c r="F3" s="169"/>
      <c r="G3" s="169"/>
      <c r="H3" s="169"/>
      <c r="I3" s="168" t="s">
        <v>4</v>
      </c>
      <c r="J3" s="169"/>
      <c r="K3" s="169"/>
      <c r="L3" s="169"/>
      <c r="M3" s="168" t="s">
        <v>5</v>
      </c>
      <c r="N3" s="169"/>
      <c r="O3" s="169"/>
      <c r="P3" s="169"/>
      <c r="Q3" s="169"/>
      <c r="S3" s="53"/>
    </row>
    <row r="4" spans="1:19" x14ac:dyDescent="0.2">
      <c r="A4" s="164" t="s">
        <v>6</v>
      </c>
      <c r="B4" s="165"/>
      <c r="C4" s="166"/>
      <c r="D4" s="1">
        <v>1.18</v>
      </c>
      <c r="E4" s="164" t="s">
        <v>7</v>
      </c>
      <c r="F4" s="165"/>
      <c r="G4" s="166"/>
      <c r="H4" s="2">
        <f>COUNT($B$22:$B$51)</f>
        <v>30</v>
      </c>
      <c r="I4" s="164" t="s">
        <v>8</v>
      </c>
      <c r="J4" s="165"/>
      <c r="K4" s="166"/>
      <c r="L4" s="3" t="s">
        <v>9</v>
      </c>
      <c r="M4" s="164" t="s">
        <v>10</v>
      </c>
      <c r="N4" s="165"/>
      <c r="O4" s="165"/>
      <c r="P4" s="166"/>
      <c r="Q4" s="4"/>
      <c r="S4" s="53"/>
    </row>
    <row r="5" spans="1:19" x14ac:dyDescent="0.2">
      <c r="A5" s="164" t="s">
        <v>11</v>
      </c>
      <c r="B5" s="165"/>
      <c r="C5" s="166"/>
      <c r="D5" s="5">
        <v>1.1850000000000001</v>
      </c>
      <c r="E5" s="164" t="s">
        <v>12</v>
      </c>
      <c r="F5" s="165"/>
      <c r="G5" s="166"/>
      <c r="H5" s="6">
        <f>IF($H$4=0,"",AVERAGE($B$22:$B$51))</f>
        <v>0.55930000000000002</v>
      </c>
      <c r="I5" s="164" t="s">
        <v>13</v>
      </c>
      <c r="J5" s="165"/>
      <c r="K5" s="166"/>
      <c r="L5" s="2"/>
      <c r="M5" s="164" t="s">
        <v>14</v>
      </c>
      <c r="N5" s="165"/>
      <c r="O5" s="165"/>
      <c r="P5" s="166"/>
      <c r="Q5" s="7"/>
      <c r="S5" s="53"/>
    </row>
    <row r="6" spans="1:19" x14ac:dyDescent="0.2">
      <c r="A6" s="164" t="s">
        <v>15</v>
      </c>
      <c r="B6" s="165"/>
      <c r="C6" s="166"/>
      <c r="D6" s="8">
        <v>0.58709999999999996</v>
      </c>
      <c r="E6" s="164" t="s">
        <v>16</v>
      </c>
      <c r="F6" s="165"/>
      <c r="G6" s="166"/>
      <c r="H6" s="6" t="str">
        <f>IF(OR($H$4=0,$H$4&gt;=30),"",($D$9*30-SUM($B$22:$B$51))/(30-$H$4))</f>
        <v/>
      </c>
      <c r="I6" s="164" t="s">
        <v>17</v>
      </c>
      <c r="J6" s="165"/>
      <c r="K6" s="166"/>
      <c r="L6" s="6"/>
      <c r="M6" s="164" t="s">
        <v>18</v>
      </c>
      <c r="N6" s="165"/>
      <c r="O6" s="165"/>
      <c r="P6" s="166"/>
      <c r="Q6" s="9"/>
      <c r="S6" s="53"/>
    </row>
    <row r="7" spans="1:19" x14ac:dyDescent="0.2">
      <c r="A7" s="164" t="s">
        <v>19</v>
      </c>
      <c r="B7" s="165"/>
      <c r="C7" s="166"/>
      <c r="D7" s="8">
        <v>0.90639999999999998</v>
      </c>
      <c r="E7" s="164" t="s">
        <v>20</v>
      </c>
      <c r="F7" s="165"/>
      <c r="G7" s="166"/>
      <c r="H7" s="10">
        <v>0.54549999999999998</v>
      </c>
      <c r="I7" s="164" t="s">
        <v>21</v>
      </c>
      <c r="J7" s="165"/>
      <c r="K7" s="166"/>
      <c r="L7" s="6"/>
      <c r="M7" s="164" t="s">
        <v>22</v>
      </c>
      <c r="N7" s="165"/>
      <c r="O7" s="165"/>
      <c r="P7" s="166"/>
      <c r="Q7" s="11" t="str">
        <f>IF($Q$5="","",$Q$5*$Q$6/100)</f>
        <v/>
      </c>
      <c r="S7" s="53"/>
    </row>
    <row r="8" spans="1:19" x14ac:dyDescent="0.2">
      <c r="A8" s="164" t="s">
        <v>23</v>
      </c>
      <c r="B8" s="165"/>
      <c r="C8" s="166"/>
      <c r="D8" s="8">
        <v>4.5100000000000001E-2</v>
      </c>
      <c r="E8" s="164" t="s">
        <v>24</v>
      </c>
      <c r="F8" s="165"/>
      <c r="G8" s="166"/>
      <c r="H8" s="6">
        <f>(SUM($B$22:$B$51)+(30-$H$4)*$H$7)/30</f>
        <v>0.55930000000000002</v>
      </c>
      <c r="I8" s="164" t="s">
        <v>25</v>
      </c>
      <c r="J8" s="165"/>
      <c r="K8" s="166"/>
      <c r="L8" s="6"/>
      <c r="M8" s="164" t="s">
        <v>26</v>
      </c>
      <c r="N8" s="165"/>
      <c r="O8" s="165"/>
      <c r="P8" s="166"/>
      <c r="Q8" s="12"/>
      <c r="S8" s="53"/>
    </row>
    <row r="9" spans="1:19" x14ac:dyDescent="0.2">
      <c r="A9" s="164" t="s">
        <v>27</v>
      </c>
      <c r="B9" s="165"/>
      <c r="C9" s="166"/>
      <c r="D9" s="13">
        <f>($D$5-$D$6)/$D$7</f>
        <v>0.65964254192409544</v>
      </c>
      <c r="E9" s="164" t="s">
        <v>28</v>
      </c>
      <c r="F9" s="165"/>
      <c r="G9" s="166"/>
      <c r="H9" s="5">
        <f>$D$6+$D$7*$H$8</f>
        <v>1.09404952</v>
      </c>
      <c r="I9" s="164" t="s">
        <v>29</v>
      </c>
      <c r="J9" s="165"/>
      <c r="K9" s="166"/>
      <c r="L9" s="3"/>
      <c r="M9" s="164" t="s">
        <v>30</v>
      </c>
      <c r="N9" s="165"/>
      <c r="O9" s="165"/>
      <c r="P9" s="166"/>
      <c r="Q9" s="4"/>
      <c r="S9" s="53"/>
    </row>
    <row r="10" spans="1:19" x14ac:dyDescent="0.2">
      <c r="A10" s="164" t="s">
        <v>31</v>
      </c>
      <c r="B10" s="165"/>
      <c r="C10" s="166"/>
      <c r="D10" s="8">
        <f>IFERROR(INDEX($F$56:$F$86,MATCH($H$4,$E$56:$E$86,0)),$D$8)</f>
        <v>0</v>
      </c>
      <c r="E10" s="164" t="s">
        <v>32</v>
      </c>
      <c r="F10" s="165"/>
      <c r="G10" s="166"/>
      <c r="H10" s="14">
        <f>1-NORMDIST($D$5,$H$9,$D$11,TRUE)</f>
        <v>2.1866529245471611E-2</v>
      </c>
      <c r="I10" s="164" t="s">
        <v>33</v>
      </c>
      <c r="J10" s="165"/>
      <c r="K10" s="166"/>
      <c r="L10" s="15"/>
      <c r="M10" s="164" t="s">
        <v>34</v>
      </c>
      <c r="N10" s="165"/>
      <c r="O10" s="165"/>
      <c r="P10" s="166"/>
      <c r="Q10" s="11" t="str">
        <f>IF(OR($Q$9="",$Q$4=""),"",IF(UPPER($Q$9)=UPPER($Q$4),$Q$5,0))</f>
        <v/>
      </c>
      <c r="S10" s="53"/>
    </row>
    <row r="11" spans="1:19" x14ac:dyDescent="0.2">
      <c r="A11" s="164" t="s">
        <v>35</v>
      </c>
      <c r="B11" s="165"/>
      <c r="C11" s="166"/>
      <c r="D11" s="8">
        <f>SQRT(($D$7*$D$10)^2+$D$8^2)</f>
        <v>4.5100000000000001E-2</v>
      </c>
      <c r="E11" s="164" t="s">
        <v>36</v>
      </c>
      <c r="F11" s="165"/>
      <c r="G11" s="166"/>
      <c r="H11" s="15"/>
      <c r="I11" s="164" t="s">
        <v>37</v>
      </c>
      <c r="J11" s="165"/>
      <c r="K11" s="166"/>
      <c r="L11" s="6" t="str">
        <f>IFERROR(LOOKUP(9.99E+307,$E$18:$E$51),"")</f>
        <v/>
      </c>
      <c r="M11" s="167" t="s">
        <v>38</v>
      </c>
      <c r="N11" s="165"/>
      <c r="O11" s="165"/>
      <c r="P11" s="166"/>
      <c r="Q11" s="11" t="str">
        <f>IF($Q$10="","",$Q$10-$Q$7-IF($Q$8="",0,$Q$8))</f>
        <v/>
      </c>
      <c r="S11" s="53"/>
    </row>
    <row r="12" spans="1:19" x14ac:dyDescent="0.2">
      <c r="A12" s="164" t="s">
        <v>39</v>
      </c>
      <c r="B12" s="165"/>
      <c r="C12" s="166"/>
      <c r="D12" s="3" t="str">
        <f>IF(AND(ABS(SLOPE($C$56:$C$91,$B$56:$B$91)-$D$7)&lt;0.0005,ABS(INTERCEPT($C$56:$C$91,$B$56:$B$91)-$D$6)&lt;0.0005,ABS(STEYX($C$56:$C$91,$B$56:$B$91)-$D$8)&lt;0.0005),"OK","DRIFT")</f>
        <v>OK</v>
      </c>
      <c r="E12" s="167" t="s">
        <v>40</v>
      </c>
      <c r="F12" s="165"/>
      <c r="G12" s="166"/>
      <c r="H12" s="14">
        <f>IF($H$11="",$H$10,$H$11)</f>
        <v>2.1866529245471611E-2</v>
      </c>
      <c r="I12" s="164" t="s">
        <v>41</v>
      </c>
      <c r="J12" s="165"/>
      <c r="K12" s="166"/>
      <c r="L12" s="3" t="str">
        <f>IF($L$11="","",IF($L$11&gt;0.05,"WARM · YES↑",IF($L$11&lt;-0.05,"COLD · YES↓","quiet")))</f>
        <v/>
      </c>
      <c r="M12" s="167" t="s">
        <v>42</v>
      </c>
      <c r="N12" s="165"/>
      <c r="O12" s="165"/>
      <c r="P12" s="166"/>
      <c r="Q12" s="14" t="str">
        <f>IF(OR($Q$11="",$Q$7=""),"",$Q$11/$Q$7)</f>
        <v/>
      </c>
      <c r="S12" s="53"/>
    </row>
    <row r="13" spans="1:19" x14ac:dyDescent="0.2">
      <c r="A13" s="164" t="s">
        <v>43</v>
      </c>
      <c r="B13" s="165"/>
      <c r="C13" s="166"/>
      <c r="D13" s="1">
        <v>1.24</v>
      </c>
      <c r="E13" s="167" t="s">
        <v>44</v>
      </c>
      <c r="F13" s="165"/>
      <c r="G13" s="166"/>
      <c r="H13" s="16">
        <f>100*(1-$H$12)</f>
        <v>97.813347075452839</v>
      </c>
      <c r="I13" s="164" t="s">
        <v>45</v>
      </c>
      <c r="J13" s="165"/>
      <c r="K13" s="166"/>
      <c r="L13" s="17">
        <v>2.24E-2</v>
      </c>
      <c r="M13" s="164" t="s">
        <v>46</v>
      </c>
      <c r="N13" s="165"/>
      <c r="O13" s="165"/>
      <c r="P13" s="166"/>
      <c r="Q13" s="18">
        <v>300</v>
      </c>
      <c r="S13" s="53"/>
    </row>
    <row r="14" spans="1:19" x14ac:dyDescent="0.2">
      <c r="A14" s="164" t="s">
        <v>47</v>
      </c>
      <c r="B14" s="165"/>
      <c r="C14" s="166"/>
      <c r="D14" s="5">
        <v>1.2450000000000001</v>
      </c>
      <c r="E14" s="167" t="s">
        <v>48</v>
      </c>
      <c r="F14" s="165"/>
      <c r="G14" s="166"/>
      <c r="H14" s="16">
        <f>IF(COUNT($L$18:$L$51)=0,"",LOOKUP(9.99E+307,$L$18:$L$51)-100*$H$12)</f>
        <v>0.81334707545283891</v>
      </c>
      <c r="I14" s="164" t="s">
        <v>49</v>
      </c>
      <c r="J14" s="165"/>
      <c r="K14" s="166"/>
      <c r="L14" s="19" t="s">
        <v>50</v>
      </c>
      <c r="M14" s="164" t="s">
        <v>51</v>
      </c>
      <c r="N14" s="165"/>
      <c r="O14" s="165"/>
      <c r="P14" s="166"/>
      <c r="Q14" s="12"/>
      <c r="S14" s="53"/>
    </row>
    <row r="15" spans="1:19" x14ac:dyDescent="0.2">
      <c r="A15" s="164" t="s">
        <v>52</v>
      </c>
      <c r="B15" s="165"/>
      <c r="C15" s="166"/>
      <c r="D15" s="9">
        <v>1</v>
      </c>
      <c r="E15" s="167" t="s">
        <v>53</v>
      </c>
      <c r="F15" s="165"/>
      <c r="G15" s="166"/>
      <c r="H15" s="3" t="str">
        <f>IF($H$14="","",IF($H$14&gt;=3,"NO CHEAP",IF($H$14&lt;=-3,"NO RICH","FAIR")))</f>
        <v>FAIR</v>
      </c>
      <c r="I15" s="164" t="s">
        <v>54</v>
      </c>
      <c r="J15" s="165"/>
      <c r="K15" s="166"/>
      <c r="L15" s="5">
        <f>IF(UPPER($L$14)="Y",$H$9+$L$13,$H$9)</f>
        <v>1.09404952</v>
      </c>
      <c r="M15" s="164" t="s">
        <v>55</v>
      </c>
      <c r="N15" s="165"/>
      <c r="O15" s="165"/>
      <c r="P15" s="166"/>
      <c r="Q15" s="14" t="str">
        <f>IF($Q$7="","",$Q$7/$Q$13)</f>
        <v/>
      </c>
      <c r="S15" s="53"/>
    </row>
    <row r="16" spans="1:19" x14ac:dyDescent="0.2">
      <c r="S16" s="53"/>
    </row>
    <row r="17" spans="1:19" ht="27" customHeight="1" x14ac:dyDescent="0.2">
      <c r="A17" s="62" t="s">
        <v>56</v>
      </c>
      <c r="B17" s="64" t="s">
        <v>57</v>
      </c>
      <c r="C17" s="63" t="s">
        <v>58</v>
      </c>
      <c r="D17" s="20" t="s">
        <v>59</v>
      </c>
      <c r="E17" s="20" t="s">
        <v>60</v>
      </c>
      <c r="F17" s="20" t="s">
        <v>12</v>
      </c>
      <c r="G17" s="20" t="s">
        <v>61</v>
      </c>
      <c r="H17" s="20" t="s">
        <v>62</v>
      </c>
      <c r="I17" s="20" t="s">
        <v>63</v>
      </c>
      <c r="J17" s="20" t="s">
        <v>64</v>
      </c>
      <c r="K17" s="20" t="s">
        <v>44</v>
      </c>
      <c r="L17" s="20" t="s">
        <v>65</v>
      </c>
      <c r="M17" s="20" t="s">
        <v>66</v>
      </c>
      <c r="N17" s="20" t="s">
        <v>67</v>
      </c>
      <c r="O17" s="20" t="s">
        <v>68</v>
      </c>
      <c r="P17" s="20" t="s">
        <v>69</v>
      </c>
      <c r="Q17" s="20" t="s">
        <v>70</v>
      </c>
      <c r="R17" s="84" t="s">
        <v>71</v>
      </c>
      <c r="S17" s="84" t="s">
        <v>72</v>
      </c>
    </row>
    <row r="18" spans="1:19" ht="26" customHeight="1" x14ac:dyDescent="0.2">
      <c r="A18" s="21" t="s">
        <v>73</v>
      </c>
      <c r="B18" s="61">
        <v>0.52600000000000002</v>
      </c>
      <c r="C18" s="22"/>
      <c r="D18" s="23" t="str">
        <f t="shared" ref="D18:D51" si="0">IF(OR($B18="",$C18=""),"",$B18-$C18)</f>
        <v/>
      </c>
      <c r="E18" s="23" t="str">
        <f>IF(COUNT($D17:$D18)&lt;3,"",AVERAGE($D17:$D18))</f>
        <v/>
      </c>
      <c r="F18" s="23"/>
      <c r="G18" s="23">
        <v>0.74399999999999999</v>
      </c>
      <c r="H18" s="23">
        <v>0.44800000000000001</v>
      </c>
      <c r="I18" s="23"/>
      <c r="J18" s="24"/>
      <c r="K18" s="25" t="str">
        <f t="shared" ref="K18:K51" si="1">IF($J18="","",100*(1-$J18))</f>
        <v/>
      </c>
      <c r="L18" s="26">
        <v>10</v>
      </c>
      <c r="M18" s="25" t="str">
        <f t="shared" ref="M18:M51" si="2">IF(OR($J18="",$L18=""),"",$L18-100*$J18)</f>
        <v/>
      </c>
      <c r="N18" s="27">
        <v>51</v>
      </c>
      <c r="O18" s="27">
        <v>51</v>
      </c>
      <c r="P18" s="28" t="str">
        <f t="shared" ref="P18:P51" si="3">IF($E18="","",IF($E18&gt;0.05,"WARM dev3 — spike risk UP",IF($E18&lt;-0.05,"COLD dev3 — spike risk DOWN","")))</f>
        <v/>
      </c>
      <c r="Q18" s="29"/>
      <c r="R18" s="102"/>
      <c r="S18" s="98" t="str">
        <f t="shared" ref="S18:S51" si="4">IF($J18="","",$J18*100)</f>
        <v/>
      </c>
    </row>
    <row r="19" spans="1:19" x14ac:dyDescent="0.2">
      <c r="A19" s="21" t="s">
        <v>74</v>
      </c>
      <c r="B19" s="22">
        <v>0.54300000000000004</v>
      </c>
      <c r="C19" s="22"/>
      <c r="D19" s="23" t="str">
        <f t="shared" si="0"/>
        <v/>
      </c>
      <c r="E19" s="23" t="str">
        <f t="shared" ref="E19:E51" si="5">IF(COUNT($D17:$D19)&lt;3,"",AVERAGE($D17:$D19))</f>
        <v/>
      </c>
      <c r="F19" s="23"/>
      <c r="G19" s="23">
        <v>0.72799999999999998</v>
      </c>
      <c r="H19" s="23">
        <v>0.435</v>
      </c>
      <c r="I19" s="23"/>
      <c r="J19" s="24"/>
      <c r="K19" s="25" t="str">
        <f t="shared" si="1"/>
        <v/>
      </c>
      <c r="L19" s="26">
        <v>10</v>
      </c>
      <c r="M19" s="25" t="str">
        <f t="shared" si="2"/>
        <v/>
      </c>
      <c r="N19" s="27">
        <v>10</v>
      </c>
      <c r="O19" s="27">
        <v>61</v>
      </c>
      <c r="P19" s="28" t="str">
        <f t="shared" si="3"/>
        <v/>
      </c>
      <c r="Q19" s="29"/>
      <c r="R19" s="102"/>
      <c r="S19" s="98" t="str">
        <f t="shared" si="4"/>
        <v/>
      </c>
    </row>
    <row r="20" spans="1:19" x14ac:dyDescent="0.2">
      <c r="A20" s="21" t="s">
        <v>75</v>
      </c>
      <c r="B20" s="22">
        <v>0.497</v>
      </c>
      <c r="C20" s="22"/>
      <c r="D20" s="23" t="str">
        <f t="shared" si="0"/>
        <v/>
      </c>
      <c r="E20" s="23" t="str">
        <f t="shared" si="5"/>
        <v/>
      </c>
      <c r="F20" s="23"/>
      <c r="G20" s="23">
        <v>0.751</v>
      </c>
      <c r="H20" s="23">
        <v>0.48</v>
      </c>
      <c r="I20" s="23"/>
      <c r="J20" s="24"/>
      <c r="K20" s="25" t="str">
        <f t="shared" si="1"/>
        <v/>
      </c>
      <c r="L20" s="26">
        <v>28</v>
      </c>
      <c r="M20" s="25" t="str">
        <f t="shared" si="2"/>
        <v/>
      </c>
      <c r="N20" s="27">
        <v>1003.06</v>
      </c>
      <c r="O20" s="27">
        <v>1046.44</v>
      </c>
      <c r="P20" s="28" t="str">
        <f t="shared" si="3"/>
        <v/>
      </c>
      <c r="Q20" s="29"/>
      <c r="R20" s="102"/>
      <c r="S20" s="98" t="str">
        <f t="shared" si="4"/>
        <v/>
      </c>
    </row>
    <row r="21" spans="1:19" x14ac:dyDescent="0.2">
      <c r="A21" s="21" t="s">
        <v>76</v>
      </c>
      <c r="B21" s="22">
        <v>0.496</v>
      </c>
      <c r="C21" s="22"/>
      <c r="D21" s="23" t="str">
        <f t="shared" si="0"/>
        <v/>
      </c>
      <c r="E21" s="23" t="str">
        <f t="shared" si="5"/>
        <v/>
      </c>
      <c r="F21" s="23"/>
      <c r="G21" s="23">
        <v>0.85</v>
      </c>
      <c r="H21" s="23">
        <v>0.49</v>
      </c>
      <c r="I21" s="23"/>
      <c r="J21" s="24"/>
      <c r="K21" s="25" t="str">
        <f t="shared" si="1"/>
        <v/>
      </c>
      <c r="L21" s="26">
        <v>21</v>
      </c>
      <c r="M21" s="25" t="str">
        <f t="shared" si="2"/>
        <v/>
      </c>
      <c r="N21" s="27">
        <v>285.61</v>
      </c>
      <c r="O21" s="27">
        <v>1314.48</v>
      </c>
      <c r="P21" s="28" t="str">
        <f t="shared" si="3"/>
        <v/>
      </c>
      <c r="Q21" s="29"/>
      <c r="R21" s="102"/>
      <c r="S21" s="98" t="str">
        <f t="shared" si="4"/>
        <v/>
      </c>
    </row>
    <row r="22" spans="1:19" x14ac:dyDescent="0.2">
      <c r="A22" s="30" t="s">
        <v>77</v>
      </c>
      <c r="B22" s="31">
        <v>0.53600000000000003</v>
      </c>
      <c r="C22" s="31"/>
      <c r="D22" s="32" t="str">
        <f t="shared" si="0"/>
        <v/>
      </c>
      <c r="E22" s="32" t="str">
        <f t="shared" si="5"/>
        <v/>
      </c>
      <c r="F22" s="32">
        <f>IF($B22="","",AVERAGE($B$22:$B22))</f>
        <v>0.53600000000000003</v>
      </c>
      <c r="G22" s="32">
        <v>0.872</v>
      </c>
      <c r="H22" s="32">
        <v>0.47099999999999997</v>
      </c>
      <c r="I22" s="32">
        <f>IF(OR($B22="",1&gt;=30),"",($D$9*30-SUM($B$22:$B22))/(30-1))</f>
        <v>0.66390607785251254</v>
      </c>
      <c r="J22" s="33">
        <f>IF($B22="","",1-NORMDIST($D$5,$D$6+$D$7*((SUM($B$22:$B22)+(30-1)*$H$7)/30),$D$11,TRUE))</f>
        <v>1.0714173398675864E-2</v>
      </c>
      <c r="K22" s="34">
        <f t="shared" si="1"/>
        <v>98.92858266013242</v>
      </c>
      <c r="L22" s="35">
        <v>15</v>
      </c>
      <c r="M22" s="34">
        <f t="shared" si="2"/>
        <v>13.928582660132413</v>
      </c>
      <c r="N22" s="36">
        <v>302.5</v>
      </c>
      <c r="O22" s="36">
        <v>1351.48</v>
      </c>
      <c r="P22" s="37" t="str">
        <f t="shared" si="3"/>
        <v/>
      </c>
      <c r="Q22" s="38"/>
      <c r="R22" s="96">
        <f t="shared" ref="R22:R51" si="6">$D$9</f>
        <v>0.65964254192409544</v>
      </c>
      <c r="S22" s="98">
        <f t="shared" si="4"/>
        <v>1.0714173398675864</v>
      </c>
    </row>
    <row r="23" spans="1:19" x14ac:dyDescent="0.2">
      <c r="A23" s="30" t="s">
        <v>78</v>
      </c>
      <c r="B23" s="31">
        <v>0.56699999999999995</v>
      </c>
      <c r="C23" s="31"/>
      <c r="D23" s="32" t="str">
        <f t="shared" si="0"/>
        <v/>
      </c>
      <c r="E23" s="32" t="str">
        <f t="shared" si="5"/>
        <v/>
      </c>
      <c r="F23" s="32">
        <f>IF($B23="","",AVERAGE($B$22:$B23))</f>
        <v>0.55149999999999999</v>
      </c>
      <c r="G23" s="32">
        <v>0.83550000000000002</v>
      </c>
      <c r="H23" s="32">
        <v>0.48299999999999998</v>
      </c>
      <c r="I23" s="32">
        <f>IF(OR($B23="",2&gt;=30),"",($D$9*30-SUM($B$22:$B23))/(30-2))</f>
        <v>0.66736700920438796</v>
      </c>
      <c r="J23" s="33">
        <f>IF($B23="","",1-NORMDIST($D$5,$D$6+$D$7*((SUM($B$22:$B23)+(30-2)*$H$7)/30),$D$11,TRUE))</f>
        <v>1.1128660029775195E-2</v>
      </c>
      <c r="K23" s="34">
        <f t="shared" si="1"/>
        <v>98.887133997022474</v>
      </c>
      <c r="L23" s="35">
        <v>13</v>
      </c>
      <c r="M23" s="34">
        <f t="shared" si="2"/>
        <v>11.887133997022481</v>
      </c>
      <c r="N23" s="36">
        <v>240.81</v>
      </c>
      <c r="O23" s="36">
        <v>1477.04</v>
      </c>
      <c r="P23" s="37" t="str">
        <f t="shared" si="3"/>
        <v/>
      </c>
      <c r="Q23" s="38"/>
      <c r="R23" s="96">
        <f t="shared" si="6"/>
        <v>0.65964254192409544</v>
      </c>
      <c r="S23" s="98">
        <f t="shared" si="4"/>
        <v>1.1128660029775195</v>
      </c>
    </row>
    <row r="24" spans="1:19" x14ac:dyDescent="0.2">
      <c r="A24" s="30" t="s">
        <v>79</v>
      </c>
      <c r="B24" s="31">
        <v>0.60799999999999998</v>
      </c>
      <c r="C24" s="31"/>
      <c r="D24" s="32" t="str">
        <f t="shared" si="0"/>
        <v/>
      </c>
      <c r="E24" s="32" t="str">
        <f t="shared" si="5"/>
        <v/>
      </c>
      <c r="F24" s="32">
        <f>IF($B24="","",AVERAGE($B$22:$B24))</f>
        <v>0.57033333333333325</v>
      </c>
      <c r="G24" s="32">
        <v>0.80030000000000001</v>
      </c>
      <c r="H24" s="32">
        <v>0.49969999999999998</v>
      </c>
      <c r="I24" s="32">
        <f>IF(OR($B24="",3&gt;=30),"",($D$9*30-SUM($B$22:$B24))/(30-3))</f>
        <v>0.66956578732306915</v>
      </c>
      <c r="J24" s="33">
        <f>IF($B24="","",1-NORMDIST($D$5,$D$6+$D$7*((SUM($B$22:$B24)+(30-3)*$H$7)/30),$D$11,TRUE))</f>
        <v>1.241369953545568E-2</v>
      </c>
      <c r="K24" s="34">
        <f t="shared" si="1"/>
        <v>98.758630046454428</v>
      </c>
      <c r="L24" s="35">
        <v>13</v>
      </c>
      <c r="M24" s="34">
        <f t="shared" si="2"/>
        <v>11.758630046454432</v>
      </c>
      <c r="N24" s="36">
        <v>21</v>
      </c>
      <c r="O24" s="36">
        <v>1494.24</v>
      </c>
      <c r="P24" s="37" t="str">
        <f t="shared" si="3"/>
        <v/>
      </c>
      <c r="Q24" s="38"/>
      <c r="R24" s="96">
        <f t="shared" si="6"/>
        <v>0.65964254192409544</v>
      </c>
      <c r="S24" s="98">
        <f t="shared" si="4"/>
        <v>1.241369953545568</v>
      </c>
    </row>
    <row r="25" spans="1:19" x14ac:dyDescent="0.2">
      <c r="A25" s="30" t="s">
        <v>80</v>
      </c>
      <c r="B25" s="31">
        <v>0.61099999999999999</v>
      </c>
      <c r="C25" s="31"/>
      <c r="D25" s="32" t="str">
        <f t="shared" si="0"/>
        <v/>
      </c>
      <c r="E25" s="32" t="str">
        <f t="shared" si="5"/>
        <v/>
      </c>
      <c r="F25" s="32">
        <f>IF($B25="","",AVERAGE($B$22:$B25))</f>
        <v>0.58050000000000002</v>
      </c>
      <c r="G25" s="32">
        <v>0.77549999999999997</v>
      </c>
      <c r="H25" s="32">
        <v>0.504</v>
      </c>
      <c r="I25" s="32">
        <f>IF(OR($B25="",4&gt;=30),"",($D$9*30-SUM($B$22:$B25))/(30-4))</f>
        <v>0.67181831760472555</v>
      </c>
      <c r="J25" s="33">
        <f>IF($B25="","",1-NORMDIST($D$5,$D$6+$D$7*((SUM($B$22:$B25)+(30-4)*$H$7)/30),$D$11,TRUE))</f>
        <v>1.3896422295733624E-2</v>
      </c>
      <c r="K25" s="34">
        <f t="shared" si="1"/>
        <v>98.610357770426631</v>
      </c>
      <c r="L25" s="35">
        <v>15</v>
      </c>
      <c r="M25" s="34">
        <f t="shared" si="2"/>
        <v>13.610357770426639</v>
      </c>
      <c r="N25" s="36">
        <v>27.22</v>
      </c>
      <c r="O25" s="36">
        <v>1506.46</v>
      </c>
      <c r="P25" s="37" t="str">
        <f t="shared" si="3"/>
        <v/>
      </c>
      <c r="Q25" s="38"/>
      <c r="R25" s="96">
        <f t="shared" si="6"/>
        <v>0.65964254192409544</v>
      </c>
      <c r="S25" s="98">
        <f t="shared" si="4"/>
        <v>1.3896422295733624</v>
      </c>
    </row>
    <row r="26" spans="1:19" x14ac:dyDescent="0.2">
      <c r="A26" s="30" t="s">
        <v>81</v>
      </c>
      <c r="B26" s="31">
        <v>0.60499999999999998</v>
      </c>
      <c r="C26" s="31"/>
      <c r="D26" s="32" t="str">
        <f t="shared" si="0"/>
        <v/>
      </c>
      <c r="E26" s="32" t="str">
        <f t="shared" si="5"/>
        <v/>
      </c>
      <c r="F26" s="32">
        <f>IF($B26="","",AVERAGE($B$22:$B26))</f>
        <v>0.58540000000000003</v>
      </c>
      <c r="G26" s="32">
        <v>0.76280000000000003</v>
      </c>
      <c r="H26" s="32">
        <v>0.50419999999999998</v>
      </c>
      <c r="I26" s="32">
        <f>IF(OR($B26="",5&gt;=30),"",($D$9*30-SUM($B$22:$B26))/(30-5))</f>
        <v>0.67449105030891454</v>
      </c>
      <c r="J26" s="33">
        <f>IF($B26="","",1-NORMDIST($D$5,$D$6+$D$7*((SUM($B$22:$B26)+(30-5)*$H$7)/30),$D$11,TRUE))</f>
        <v>1.5373259900374081E-2</v>
      </c>
      <c r="K26" s="34">
        <f t="shared" si="1"/>
        <v>98.462674009962598</v>
      </c>
      <c r="L26" s="35">
        <v>15</v>
      </c>
      <c r="M26" s="34">
        <f t="shared" si="2"/>
        <v>13.462674009962592</v>
      </c>
      <c r="N26" s="36">
        <v>720.73</v>
      </c>
      <c r="O26" s="36">
        <v>2152.7600000000002</v>
      </c>
      <c r="P26" s="37" t="str">
        <f t="shared" si="3"/>
        <v/>
      </c>
      <c r="Q26" s="38"/>
      <c r="R26" s="96">
        <f t="shared" si="6"/>
        <v>0.65964254192409544</v>
      </c>
      <c r="S26" s="98">
        <f t="shared" si="4"/>
        <v>1.5373259900374081</v>
      </c>
    </row>
    <row r="27" spans="1:19" x14ac:dyDescent="0.2">
      <c r="A27" s="30" t="s">
        <v>82</v>
      </c>
      <c r="B27" s="31">
        <v>0.65100000000000002</v>
      </c>
      <c r="C27" s="31"/>
      <c r="D27" s="32" t="str">
        <f t="shared" si="0"/>
        <v/>
      </c>
      <c r="E27" s="32" t="str">
        <f t="shared" si="5"/>
        <v/>
      </c>
      <c r="F27" s="32">
        <f>IF($B27="","",AVERAGE($B$22:$B27))</f>
        <v>0.59633333333333338</v>
      </c>
      <c r="G27" s="32">
        <v>0.74750000000000005</v>
      </c>
      <c r="H27" s="32">
        <v>0.51619999999999999</v>
      </c>
      <c r="I27" s="32">
        <f>IF(OR($B27="",6&gt;=30),"",($D$9*30-SUM($B$22:$B27))/(30-6))</f>
        <v>0.67546984407178601</v>
      </c>
      <c r="J27" s="33">
        <f>IF($B27="","",1-NORMDIST($D$5,$D$6+$D$7*((SUM($B$22:$B27)+(30-6)*$H$7)/30),$D$11,TRUE))</f>
        <v>1.8324109196685368E-2</v>
      </c>
      <c r="K27" s="34">
        <f t="shared" si="1"/>
        <v>98.167589080331467</v>
      </c>
      <c r="L27" s="35">
        <v>13</v>
      </c>
      <c r="M27" s="34">
        <f t="shared" si="2"/>
        <v>11.167589080331464</v>
      </c>
      <c r="N27" s="36">
        <v>280.5</v>
      </c>
      <c r="O27" s="36">
        <v>2427.1</v>
      </c>
      <c r="P27" s="37" t="str">
        <f t="shared" si="3"/>
        <v/>
      </c>
      <c r="Q27" s="38"/>
      <c r="R27" s="96">
        <f t="shared" si="6"/>
        <v>0.65964254192409544</v>
      </c>
      <c r="S27" s="98">
        <f t="shared" si="4"/>
        <v>1.8324109196685368</v>
      </c>
    </row>
    <row r="28" spans="1:19" x14ac:dyDescent="0.2">
      <c r="A28" s="30" t="s">
        <v>83</v>
      </c>
      <c r="B28" s="31">
        <v>0.65300000000000002</v>
      </c>
      <c r="C28" s="31"/>
      <c r="D28" s="32" t="str">
        <f t="shared" si="0"/>
        <v/>
      </c>
      <c r="E28" s="32" t="str">
        <f t="shared" si="5"/>
        <v/>
      </c>
      <c r="F28" s="32">
        <f>IF($B28="","",AVERAGE($B$22:$B28))</f>
        <v>0.60442857142857143</v>
      </c>
      <c r="G28" s="32">
        <v>0.73440000000000005</v>
      </c>
      <c r="H28" s="32">
        <v>0.53800000000000003</v>
      </c>
      <c r="I28" s="32">
        <f>IF(OR($B28="",7&gt;=30),"",($D$9*30-SUM($B$22:$B28))/(30-7))</f>
        <v>0.67644679381403761</v>
      </c>
      <c r="J28" s="33">
        <f>IF($B28="","",1-NORMDIST($D$5,$D$6+$D$7*((SUM($B$22:$B28)+(30-7)*$H$7)/30),$D$11,TRUE))</f>
        <v>2.1814111219499388E-2</v>
      </c>
      <c r="K28" s="34">
        <f t="shared" si="1"/>
        <v>97.818588878050065</v>
      </c>
      <c r="L28" s="35">
        <v>12</v>
      </c>
      <c r="M28" s="34">
        <f t="shared" si="2"/>
        <v>9.8185888780500612</v>
      </c>
      <c r="N28" s="36">
        <v>296.2</v>
      </c>
      <c r="O28" s="36">
        <v>2612.0100000000002</v>
      </c>
      <c r="P28" s="37" t="str">
        <f t="shared" si="3"/>
        <v/>
      </c>
      <c r="Q28" s="38"/>
      <c r="R28" s="96">
        <f t="shared" si="6"/>
        <v>0.65964254192409544</v>
      </c>
      <c r="S28" s="98">
        <f t="shared" si="4"/>
        <v>2.1814111219499388</v>
      </c>
    </row>
    <row r="29" spans="1:19" x14ac:dyDescent="0.2">
      <c r="A29" s="30" t="s">
        <v>84</v>
      </c>
      <c r="B29" s="31">
        <v>0.64600000000000002</v>
      </c>
      <c r="C29" s="31"/>
      <c r="D29" s="32" t="str">
        <f t="shared" si="0"/>
        <v/>
      </c>
      <c r="E29" s="32" t="str">
        <f t="shared" si="5"/>
        <v/>
      </c>
      <c r="F29" s="32">
        <f>IF($B29="","",AVERAGE($B$22:$B29))</f>
        <v>0.60962499999999997</v>
      </c>
      <c r="G29" s="32">
        <v>0.7288</v>
      </c>
      <c r="H29" s="32">
        <v>0.56889999999999996</v>
      </c>
      <c r="I29" s="32">
        <f>IF(OR($B29="",8&gt;=30),"",($D$9*30-SUM($B$22:$B29))/(30-8))</f>
        <v>0.67783073898740298</v>
      </c>
      <c r="J29" s="33">
        <f>IF($B29="","",1-NORMDIST($D$5,$D$6+$D$7*((SUM($B$22:$B29)+(30-8)*$H$7)/30),$D$11,TRUE))</f>
        <v>2.5569090245621262E-2</v>
      </c>
      <c r="K29" s="34">
        <f t="shared" si="1"/>
        <v>97.443090975437869</v>
      </c>
      <c r="L29" s="35">
        <v>10</v>
      </c>
      <c r="M29" s="34">
        <f t="shared" si="2"/>
        <v>7.4430909754378742</v>
      </c>
      <c r="N29" s="36">
        <v>15.9</v>
      </c>
      <c r="O29" s="36">
        <v>2617.11</v>
      </c>
      <c r="P29" s="37" t="str">
        <f t="shared" si="3"/>
        <v/>
      </c>
      <c r="Q29" s="38"/>
      <c r="R29" s="96">
        <f t="shared" si="6"/>
        <v>0.65964254192409544</v>
      </c>
      <c r="S29" s="98">
        <f t="shared" si="4"/>
        <v>2.5569090245621262</v>
      </c>
    </row>
    <row r="30" spans="1:19" x14ac:dyDescent="0.2">
      <c r="A30" s="30" t="s">
        <v>85</v>
      </c>
      <c r="B30" s="31">
        <v>0.60699999999999998</v>
      </c>
      <c r="C30" s="31"/>
      <c r="D30" s="32" t="str">
        <f t="shared" si="0"/>
        <v/>
      </c>
      <c r="E30" s="32" t="str">
        <f t="shared" si="5"/>
        <v/>
      </c>
      <c r="F30" s="32">
        <f>IF($B30="","",AVERAGE($B$22:$B30))</f>
        <v>0.60933333333333328</v>
      </c>
      <c r="G30" s="32">
        <v>0.72760000000000002</v>
      </c>
      <c r="H30" s="32">
        <v>0.59670000000000001</v>
      </c>
      <c r="I30" s="32">
        <f>IF(OR($B30="",9&gt;=30),"",($D$9*30-SUM($B$22:$B30))/(30-9))</f>
        <v>0.68120363132013639</v>
      </c>
      <c r="J30" s="33">
        <f>IF($B30="","",1-NORMDIST($D$5,$D$6+$D$7*((SUM($B$22:$B30)+(30-9)*$H$7)/30),$D$11,TRUE))</f>
        <v>2.8123409583257986E-2</v>
      </c>
      <c r="K30" s="34">
        <f t="shared" si="1"/>
        <v>97.187659041674195</v>
      </c>
      <c r="L30" s="35">
        <v>11</v>
      </c>
      <c r="M30" s="34">
        <f t="shared" si="2"/>
        <v>8.1876590416742019</v>
      </c>
      <c r="N30" s="36">
        <v>280.52999999999997</v>
      </c>
      <c r="O30" s="36">
        <v>2593.2800000000002</v>
      </c>
      <c r="P30" s="37" t="str">
        <f t="shared" si="3"/>
        <v/>
      </c>
      <c r="Q30" s="38"/>
      <c r="R30" s="96">
        <f t="shared" si="6"/>
        <v>0.65964254192409544</v>
      </c>
      <c r="S30" s="98">
        <f t="shared" si="4"/>
        <v>2.8123409583257986</v>
      </c>
    </row>
    <row r="31" spans="1:19" x14ac:dyDescent="0.2">
      <c r="A31" s="30" t="s">
        <v>86</v>
      </c>
      <c r="B31" s="31">
        <v>0.59599999999999997</v>
      </c>
      <c r="C31" s="31"/>
      <c r="D31" s="32" t="str">
        <f t="shared" si="0"/>
        <v/>
      </c>
      <c r="E31" s="32" t="str">
        <f t="shared" si="5"/>
        <v/>
      </c>
      <c r="F31" s="32">
        <f>IF($B31="","",AVERAGE($B$22:$B31))</f>
        <v>0.60799999999999998</v>
      </c>
      <c r="G31" s="32">
        <v>0.72699999999999998</v>
      </c>
      <c r="H31" s="32">
        <v>0.61070000000000002</v>
      </c>
      <c r="I31" s="32">
        <f>IF(OR($B31="",10&gt;=30),"",($D$9*30-SUM($B$22:$B31))/(30-10))</f>
        <v>0.68546381288614322</v>
      </c>
      <c r="J31" s="33">
        <f>IF($B31="","",1-NORMDIST($D$5,$D$6+$D$7*((SUM($B$22:$B31)+(30-10)*$H$7)/30),$D$11,TRUE))</f>
        <v>3.0376590405385206E-2</v>
      </c>
      <c r="K31" s="34">
        <f t="shared" si="1"/>
        <v>96.962340959461486</v>
      </c>
      <c r="L31" s="35">
        <v>13</v>
      </c>
      <c r="M31" s="34">
        <f t="shared" si="2"/>
        <v>9.9623409594614785</v>
      </c>
      <c r="N31" s="36">
        <v>191.71</v>
      </c>
      <c r="O31" s="36">
        <v>2623.13</v>
      </c>
      <c r="P31" s="37" t="str">
        <f t="shared" si="3"/>
        <v/>
      </c>
      <c r="Q31" s="38"/>
      <c r="R31" s="96">
        <f t="shared" si="6"/>
        <v>0.65964254192409544</v>
      </c>
      <c r="S31" s="98">
        <f t="shared" si="4"/>
        <v>3.0376590405385206</v>
      </c>
    </row>
    <row r="32" spans="1:19" x14ac:dyDescent="0.2">
      <c r="A32" s="30" t="s">
        <v>87</v>
      </c>
      <c r="B32" s="31">
        <v>0.622</v>
      </c>
      <c r="C32" s="31"/>
      <c r="D32" s="32" t="str">
        <f t="shared" si="0"/>
        <v/>
      </c>
      <c r="E32" s="32" t="str">
        <f t="shared" si="5"/>
        <v/>
      </c>
      <c r="F32" s="32">
        <f>IF($B32="","",AVERAGE($B$22:$B32))</f>
        <v>0.6092727272727273</v>
      </c>
      <c r="G32" s="32">
        <v>0.72960000000000003</v>
      </c>
      <c r="H32" s="32">
        <v>0.61360000000000003</v>
      </c>
      <c r="I32" s="32">
        <f>IF(OR($B32="",11&gt;=30),"",($D$9*30-SUM($B$22:$B32))/(30-11))</f>
        <v>0.68880401356436127</v>
      </c>
      <c r="J32" s="33">
        <f>IF($B32="","",1-NORMDIST($D$5,$D$6+$D$7*((SUM($B$22:$B32)+(30-11)*$H$7)/30),$D$11,TRUE))</f>
        <v>3.4073108702738608E-2</v>
      </c>
      <c r="K32" s="34">
        <f t="shared" si="1"/>
        <v>96.592689129726139</v>
      </c>
      <c r="L32" s="35">
        <v>10</v>
      </c>
      <c r="M32" s="34">
        <f t="shared" si="2"/>
        <v>6.5926891297261392</v>
      </c>
      <c r="N32" s="36">
        <v>431.61</v>
      </c>
      <c r="O32" s="36">
        <v>2305.8200000000002</v>
      </c>
      <c r="P32" s="37" t="str">
        <f t="shared" si="3"/>
        <v/>
      </c>
      <c r="Q32" s="38"/>
      <c r="R32" s="96">
        <f t="shared" si="6"/>
        <v>0.65964254192409544</v>
      </c>
      <c r="S32" s="98">
        <f t="shared" si="4"/>
        <v>3.4073108702738608</v>
      </c>
    </row>
    <row r="33" spans="1:19" x14ac:dyDescent="0.2">
      <c r="A33" s="30" t="s">
        <v>88</v>
      </c>
      <c r="B33" s="31">
        <v>0.6</v>
      </c>
      <c r="C33" s="31"/>
      <c r="D33" s="32" t="str">
        <f t="shared" si="0"/>
        <v/>
      </c>
      <c r="E33" s="32" t="str">
        <f t="shared" si="5"/>
        <v/>
      </c>
      <c r="F33" s="32">
        <f>IF($B33="","",AVERAGE($B$22:$B33))</f>
        <v>0.60849999999999993</v>
      </c>
      <c r="G33" s="32">
        <v>0.73499999999999999</v>
      </c>
      <c r="H33" s="32">
        <v>0.61209999999999998</v>
      </c>
      <c r="I33" s="32">
        <f>IF(OR($B33="",12&gt;=30),"",($D$9*30-SUM($B$22:$B33))/(30-12))</f>
        <v>0.69373756987349244</v>
      </c>
      <c r="J33" s="33">
        <f>IF($B33="","",1-NORMDIST($D$5,$D$6+$D$7*((SUM($B$22:$B33)+(30-12)*$H$7)/30),$D$11,TRUE))</f>
        <v>3.6926082496239743E-2</v>
      </c>
      <c r="K33" s="34">
        <f t="shared" si="1"/>
        <v>96.307391750376027</v>
      </c>
      <c r="L33" s="35">
        <v>9</v>
      </c>
      <c r="M33" s="34">
        <f t="shared" si="2"/>
        <v>5.3073917503760253</v>
      </c>
      <c r="N33" s="36">
        <v>892.55</v>
      </c>
      <c r="O33" s="36">
        <v>2904.85</v>
      </c>
      <c r="P33" s="37" t="str">
        <f t="shared" si="3"/>
        <v/>
      </c>
      <c r="Q33" s="38"/>
      <c r="R33" s="96">
        <f t="shared" si="6"/>
        <v>0.65964254192409544</v>
      </c>
      <c r="S33" s="98">
        <f t="shared" si="4"/>
        <v>3.6926082496239743</v>
      </c>
    </row>
    <row r="34" spans="1:19" x14ac:dyDescent="0.2">
      <c r="A34" s="30" t="s">
        <v>89</v>
      </c>
      <c r="B34" s="31">
        <v>0.53500000000000003</v>
      </c>
      <c r="C34" s="31"/>
      <c r="D34" s="32" t="str">
        <f t="shared" si="0"/>
        <v/>
      </c>
      <c r="E34" s="32" t="str">
        <f t="shared" si="5"/>
        <v/>
      </c>
      <c r="F34" s="32">
        <f>IF($B34="","",AVERAGE($B$22:$B34))</f>
        <v>0.60284615384615381</v>
      </c>
      <c r="G34" s="32">
        <v>0.74339999999999995</v>
      </c>
      <c r="H34" s="32">
        <v>0.60599999999999998</v>
      </c>
      <c r="I34" s="32">
        <f>IF(OR($B34="",13&gt;=30),"",($D$9*30-SUM($B$22:$B34))/(30-13))</f>
        <v>0.70307507398369795</v>
      </c>
      <c r="J34" s="33">
        <f>IF($B34="","",1-NORMDIST($D$5,$D$6+$D$7*((SUM($B$22:$B34)+(30-13)*$H$7)/30),$D$11,TRUE))</f>
        <v>3.6361731651501916E-2</v>
      </c>
      <c r="K34" s="34">
        <f t="shared" si="1"/>
        <v>96.363826834849803</v>
      </c>
      <c r="L34" s="35">
        <v>7</v>
      </c>
      <c r="M34" s="34">
        <f t="shared" si="2"/>
        <v>3.3638268348498084</v>
      </c>
      <c r="N34" s="36">
        <v>759.46</v>
      </c>
      <c r="O34" s="36">
        <v>3299.97</v>
      </c>
      <c r="P34" s="37" t="str">
        <f t="shared" si="3"/>
        <v/>
      </c>
      <c r="Q34" s="38"/>
      <c r="R34" s="96">
        <f t="shared" si="6"/>
        <v>0.65964254192409544</v>
      </c>
      <c r="S34" s="98">
        <f t="shared" si="4"/>
        <v>3.6361731651501916</v>
      </c>
    </row>
    <row r="35" spans="1:19" x14ac:dyDescent="0.2">
      <c r="A35" s="30" t="s">
        <v>90</v>
      </c>
      <c r="B35" s="31">
        <v>0.45600000000000002</v>
      </c>
      <c r="C35" s="31"/>
      <c r="D35" s="32" t="str">
        <f t="shared" si="0"/>
        <v/>
      </c>
      <c r="E35" s="32" t="str">
        <f t="shared" si="5"/>
        <v/>
      </c>
      <c r="F35" s="32">
        <f>IF($B35="","",AVERAGE($B$22:$B35))</f>
        <v>0.5923571428571428</v>
      </c>
      <c r="G35" s="32">
        <v>0.749</v>
      </c>
      <c r="H35" s="32">
        <v>0.59770000000000001</v>
      </c>
      <c r="I35" s="32">
        <f>IF(OR($B35="",14&gt;=30),"",($D$9*30-SUM($B$22:$B35))/(30-14))</f>
        <v>0.71851726610767908</v>
      </c>
      <c r="J35" s="33">
        <f>IF($B35="","",1-NORMDIST($D$5,$D$6+$D$7*((SUM($B$22:$B35)+(30-14)*$H$7)/30),$D$11,TRUE))</f>
        <v>3.1832398655584959E-2</v>
      </c>
      <c r="K35" s="34">
        <f t="shared" si="1"/>
        <v>96.816760134441509</v>
      </c>
      <c r="L35" s="35">
        <v>8</v>
      </c>
      <c r="M35" s="34">
        <f t="shared" si="2"/>
        <v>4.8167601344415036</v>
      </c>
      <c r="N35" s="36">
        <v>512.99</v>
      </c>
      <c r="O35" s="36">
        <v>3446</v>
      </c>
      <c r="P35" s="37" t="str">
        <f t="shared" si="3"/>
        <v/>
      </c>
      <c r="Q35" s="38"/>
      <c r="R35" s="96">
        <f t="shared" si="6"/>
        <v>0.65964254192409544</v>
      </c>
      <c r="S35" s="98">
        <f t="shared" si="4"/>
        <v>3.1832398655584959</v>
      </c>
    </row>
    <row r="36" spans="1:19" x14ac:dyDescent="0.2">
      <c r="A36" s="30" t="s">
        <v>91</v>
      </c>
      <c r="B36" s="31">
        <v>0.46100000000000002</v>
      </c>
      <c r="C36" s="31"/>
      <c r="D36" s="32" t="str">
        <f t="shared" si="0"/>
        <v/>
      </c>
      <c r="E36" s="32" t="str">
        <f t="shared" si="5"/>
        <v/>
      </c>
      <c r="F36" s="32">
        <f>IF($B36="","",AVERAGE($B$22:$B36))</f>
        <v>0.58360000000000001</v>
      </c>
      <c r="G36" s="32">
        <v>0.74870000000000003</v>
      </c>
      <c r="H36" s="32">
        <v>0.59099999999999997</v>
      </c>
      <c r="I36" s="32">
        <f>IF(OR($B36="",15&gt;=30),"",($D$9*30-SUM($B$22:$B36))/(30-15))</f>
        <v>0.73568508384819098</v>
      </c>
      <c r="J36" s="33">
        <f>IF($B36="","",1-NORMDIST($D$5,$D$6+$D$7*((SUM($B$22:$B36)+(30-15)*$H$7)/30),$D$11,TRUE))</f>
        <v>2.7994056585193716E-2</v>
      </c>
      <c r="K36" s="34">
        <f t="shared" si="1"/>
        <v>97.200594341480624</v>
      </c>
      <c r="L36" s="35">
        <v>8</v>
      </c>
      <c r="M36" s="34">
        <f t="shared" si="2"/>
        <v>5.2005943414806284</v>
      </c>
      <c r="N36" s="36">
        <v>400.01</v>
      </c>
      <c r="O36" s="36">
        <v>3725.85</v>
      </c>
      <c r="P36" s="37" t="str">
        <f t="shared" si="3"/>
        <v/>
      </c>
      <c r="Q36" s="38"/>
      <c r="R36" s="96">
        <f t="shared" si="6"/>
        <v>0.65964254192409544</v>
      </c>
      <c r="S36" s="98">
        <f t="shared" si="4"/>
        <v>2.7994056585193716</v>
      </c>
    </row>
    <row r="37" spans="1:19" x14ac:dyDescent="0.2">
      <c r="A37" s="30" t="s">
        <v>92</v>
      </c>
      <c r="B37" s="31">
        <v>0.49299999999999999</v>
      </c>
      <c r="C37" s="31"/>
      <c r="D37" s="32" t="str">
        <f t="shared" si="0"/>
        <v/>
      </c>
      <c r="E37" s="32" t="str">
        <f t="shared" si="5"/>
        <v/>
      </c>
      <c r="F37" s="32">
        <f>IF($B37="","",AVERAGE($B$22:$B37))</f>
        <v>0.57793749999999999</v>
      </c>
      <c r="G37" s="60">
        <v>0.74570000000000003</v>
      </c>
      <c r="H37" s="32">
        <v>0.5847</v>
      </c>
      <c r="I37" s="32">
        <f>IF(OR($B37="",16&gt;=30),"",($D$9*30-SUM($B$22:$B37))/(30-16))</f>
        <v>0.7530197326944903</v>
      </c>
      <c r="J37" s="33">
        <f>IF($B37="","",1-NORMDIST($D$5,$D$6+$D$7*((SUM($B$22:$B37)+(30-16)*$H$7)/30),$D$11,TRUE))</f>
        <v>2.5809423347569416E-2</v>
      </c>
      <c r="K37" s="34">
        <f t="shared" si="1"/>
        <v>97.419057665243059</v>
      </c>
      <c r="L37" s="35">
        <v>6</v>
      </c>
      <c r="M37" s="34">
        <f t="shared" si="2"/>
        <v>3.4190576652430584</v>
      </c>
      <c r="N37" s="36">
        <v>1659.22</v>
      </c>
      <c r="O37" s="36">
        <v>4880.9399999999996</v>
      </c>
      <c r="P37" s="37" t="str">
        <f t="shared" si="3"/>
        <v/>
      </c>
      <c r="Q37" s="38"/>
      <c r="R37" s="96">
        <f t="shared" si="6"/>
        <v>0.65964254192409544</v>
      </c>
      <c r="S37" s="98">
        <f t="shared" si="4"/>
        <v>2.5809423347569416</v>
      </c>
    </row>
    <row r="38" spans="1:19" x14ac:dyDescent="0.2">
      <c r="A38" s="30" t="s">
        <v>93</v>
      </c>
      <c r="B38" s="31">
        <v>0.5</v>
      </c>
      <c r="C38" s="31"/>
      <c r="D38" s="32" t="str">
        <f t="shared" si="0"/>
        <v/>
      </c>
      <c r="E38" s="32" t="str">
        <f t="shared" si="5"/>
        <v/>
      </c>
      <c r="F38" s="32">
        <f>IF($B38="","",AVERAGE($B$22:$B38))</f>
        <v>0.57335294117647062</v>
      </c>
      <c r="G38" s="59">
        <v>0.74309999999999998</v>
      </c>
      <c r="H38" s="32">
        <v>0.57820000000000005</v>
      </c>
      <c r="I38" s="32">
        <f>IF(OR($B38="",17&gt;=30),"",($D$9*30-SUM($B$22:$B38))/(30-17))</f>
        <v>0.77248278905560497</v>
      </c>
      <c r="J38" s="33">
        <f>IF($B38="","",1-NORMDIST($D$5,$D$6+$D$7*((SUM($B$22:$B38)+(30-17)*$H$7)/30),$D$11,TRUE))</f>
        <v>2.4033240810419243E-2</v>
      </c>
      <c r="K38" s="34">
        <f t="shared" si="1"/>
        <v>97.59667591895807</v>
      </c>
      <c r="L38" s="35">
        <v>6</v>
      </c>
      <c r="M38" s="34">
        <f t="shared" si="2"/>
        <v>3.5966759189580757</v>
      </c>
      <c r="N38" s="36">
        <v>1167.58</v>
      </c>
      <c r="O38" s="36">
        <v>4314.18</v>
      </c>
      <c r="P38" s="37" t="str">
        <f t="shared" si="3"/>
        <v/>
      </c>
      <c r="Q38" s="38"/>
      <c r="R38" s="96">
        <f t="shared" si="6"/>
        <v>0.65964254192409544</v>
      </c>
      <c r="S38" s="98">
        <f t="shared" si="4"/>
        <v>2.4033240810419243</v>
      </c>
    </row>
    <row r="39" spans="1:19" x14ac:dyDescent="0.2">
      <c r="A39" s="30" t="s">
        <v>94</v>
      </c>
      <c r="B39" s="31">
        <v>0.501</v>
      </c>
      <c r="C39" s="31"/>
      <c r="D39" s="32" t="str">
        <f t="shared" si="0"/>
        <v/>
      </c>
      <c r="E39" s="32" t="str">
        <f t="shared" si="5"/>
        <v/>
      </c>
      <c r="F39" s="32">
        <f>IF($B39="","",AVERAGE($B$22:$B39))</f>
        <v>0.56933333333333325</v>
      </c>
      <c r="G39" s="32">
        <v>0.73850000000000005</v>
      </c>
      <c r="H39" s="32">
        <v>0.5716</v>
      </c>
      <c r="I39" s="32">
        <f>IF(OR($B39="",18&gt;=30),"",($D$9*30-SUM($B$22:$B39))/(30-18))</f>
        <v>0.79510635481023872</v>
      </c>
      <c r="J39" s="33">
        <f>IF($B39="","",1-NORMDIST($D$5,$D$6+$D$7*((SUM($B$22:$B39)+(30-18)*$H$7)/30),$D$11,TRUE))</f>
        <v>2.2396584604591374E-2</v>
      </c>
      <c r="K39" s="34">
        <f t="shared" si="1"/>
        <v>97.76034153954086</v>
      </c>
      <c r="L39" s="35">
        <v>3</v>
      </c>
      <c r="M39" s="34">
        <f t="shared" si="2"/>
        <v>0.76034153954086259</v>
      </c>
      <c r="N39" s="36">
        <v>428.88</v>
      </c>
      <c r="O39" s="36">
        <v>4604.09</v>
      </c>
      <c r="P39" s="37" t="str">
        <f t="shared" si="3"/>
        <v/>
      </c>
      <c r="Q39" s="38"/>
      <c r="R39" s="96">
        <f t="shared" si="6"/>
        <v>0.65964254192409544</v>
      </c>
      <c r="S39" s="98">
        <f t="shared" si="4"/>
        <v>2.2396584604591374</v>
      </c>
    </row>
    <row r="40" spans="1:19" x14ac:dyDescent="0.2">
      <c r="A40" s="30" t="s">
        <v>95</v>
      </c>
      <c r="B40" s="31">
        <v>0.46400000000000002</v>
      </c>
      <c r="C40" s="31"/>
      <c r="D40" s="32" t="str">
        <f t="shared" si="0"/>
        <v/>
      </c>
      <c r="E40" s="32" t="str">
        <f t="shared" si="5"/>
        <v/>
      </c>
      <c r="F40" s="32">
        <f>IF($B40="","",AVERAGE($B$22:$B40))</f>
        <v>0.56378947368421051</v>
      </c>
      <c r="G40" s="32">
        <v>0.73119999999999996</v>
      </c>
      <c r="H40" s="32">
        <v>0.56469999999999998</v>
      </c>
      <c r="I40" s="32">
        <f>IF(OR($B40="",19&gt;=30),"",($D$9*30-SUM($B$22:$B40))/(30-19))</f>
        <v>0.82520693252026045</v>
      </c>
      <c r="J40" s="33">
        <f>IF($B40="","",1-NORMDIST($D$5,$D$6+$D$7*((SUM($B$22:$B40)+(30-19)*$H$7)/30),$D$11,TRUE))</f>
        <v>1.964246105832379E-2</v>
      </c>
      <c r="K40" s="34">
        <f t="shared" si="1"/>
        <v>98.035753894167627</v>
      </c>
      <c r="L40" s="35">
        <v>4</v>
      </c>
      <c r="M40" s="34">
        <f t="shared" si="2"/>
        <v>2.035753894167621</v>
      </c>
      <c r="N40" s="36">
        <v>982.83</v>
      </c>
      <c r="O40" s="36">
        <v>4747.6099999999997</v>
      </c>
      <c r="P40" s="37" t="str">
        <f t="shared" si="3"/>
        <v/>
      </c>
      <c r="Q40" s="38"/>
      <c r="R40" s="96">
        <f t="shared" si="6"/>
        <v>0.65964254192409544</v>
      </c>
      <c r="S40" s="98">
        <f t="shared" si="4"/>
        <v>1.964246105832379</v>
      </c>
    </row>
    <row r="41" spans="1:19" x14ac:dyDescent="0.2">
      <c r="A41" s="30" t="s">
        <v>96</v>
      </c>
      <c r="B41" s="31">
        <v>0.47199999999999998</v>
      </c>
      <c r="C41" s="31"/>
      <c r="D41" s="32" t="str">
        <f t="shared" si="0"/>
        <v/>
      </c>
      <c r="E41" s="32" t="str">
        <f t="shared" si="5"/>
        <v/>
      </c>
      <c r="F41" s="32">
        <f>IF($B41="","",AVERAGE($B$22:$B41))</f>
        <v>0.55919999999999992</v>
      </c>
      <c r="G41" s="32">
        <v>0.72199999999999998</v>
      </c>
      <c r="H41" s="32">
        <v>0.55430000000000001</v>
      </c>
      <c r="I41" s="32">
        <f>IF(OR($B41="",20&gt;=30),"",($D$9*30-SUM($B$22:$B41))/(30-20))</f>
        <v>0.86052762577228648</v>
      </c>
      <c r="J41" s="33">
        <f>IF($B41="","",1-NORMDIST($D$5,$D$6+$D$7*((SUM($B$22:$B41)+(30-20)*$H$7)/30),$D$11,TRUE))</f>
        <v>1.7410711552219738E-2</v>
      </c>
      <c r="K41" s="34">
        <f t="shared" si="1"/>
        <v>98.258928844778026</v>
      </c>
      <c r="L41" s="35">
        <v>4</v>
      </c>
      <c r="M41" s="34">
        <f t="shared" si="2"/>
        <v>2.2589288447780262</v>
      </c>
      <c r="N41" s="36">
        <v>721.82</v>
      </c>
      <c r="O41" s="36">
        <v>5434.68</v>
      </c>
      <c r="P41" s="37" t="str">
        <f t="shared" si="3"/>
        <v/>
      </c>
      <c r="Q41" s="38"/>
      <c r="R41" s="96">
        <f t="shared" si="6"/>
        <v>0.65964254192409544</v>
      </c>
      <c r="S41" s="98">
        <f t="shared" si="4"/>
        <v>1.7410711552219738</v>
      </c>
    </row>
    <row r="42" spans="1:19" x14ac:dyDescent="0.2">
      <c r="A42" s="30" t="s">
        <v>97</v>
      </c>
      <c r="B42" s="31">
        <v>0.52900000000000003</v>
      </c>
      <c r="C42" s="31"/>
      <c r="D42" s="32" t="str">
        <f t="shared" si="0"/>
        <v/>
      </c>
      <c r="E42" s="32" t="str">
        <f t="shared" si="5"/>
        <v/>
      </c>
      <c r="F42" s="32">
        <f>IF($B42="","",AVERAGE($B$22:$B42))</f>
        <v>0.55776190476190468</v>
      </c>
      <c r="G42" s="32">
        <v>0.71340000000000003</v>
      </c>
      <c r="H42" s="32">
        <v>0.54569999999999996</v>
      </c>
      <c r="I42" s="32">
        <f>IF(OR($B42="",21&gt;=30),"",($D$9*30-SUM($B$22:$B42))/(30-21))</f>
        <v>0.89736402863587394</v>
      </c>
      <c r="J42" s="33">
        <f>IF($B42="","",1-NORMDIST($D$5,$D$6+$D$7*((SUM($B$22:$B42)+(30-21)*$H$7)/30),$D$11,TRUE))</f>
        <v>1.6940604032979589E-2</v>
      </c>
      <c r="K42" s="34">
        <f t="shared" si="1"/>
        <v>98.305939596702046</v>
      </c>
      <c r="L42" s="35">
        <v>5</v>
      </c>
      <c r="M42" s="34">
        <f t="shared" si="2"/>
        <v>3.3059395967020411</v>
      </c>
      <c r="N42" s="36">
        <v>748.13</v>
      </c>
      <c r="O42" s="36">
        <v>5852.41</v>
      </c>
      <c r="P42" s="37" t="str">
        <f t="shared" si="3"/>
        <v/>
      </c>
      <c r="Q42" s="38"/>
      <c r="R42" s="96">
        <f t="shared" si="6"/>
        <v>0.65964254192409544</v>
      </c>
      <c r="S42" s="98">
        <f t="shared" si="4"/>
        <v>1.6940604032979589</v>
      </c>
    </row>
    <row r="43" spans="1:19" x14ac:dyDescent="0.2">
      <c r="A43" s="30" t="s">
        <v>98</v>
      </c>
      <c r="B43" s="31">
        <v>0.54700000000000004</v>
      </c>
      <c r="C43" s="31"/>
      <c r="D43" s="32" t="str">
        <f t="shared" si="0"/>
        <v/>
      </c>
      <c r="E43" s="32" t="str">
        <f t="shared" si="5"/>
        <v/>
      </c>
      <c r="F43" s="32">
        <f>IF($B43="","",AVERAGE($B$22:$B43))</f>
        <v>0.55727272727272725</v>
      </c>
      <c r="G43" s="32">
        <v>0.70540000000000003</v>
      </c>
      <c r="H43" s="32">
        <v>0.53969999999999996</v>
      </c>
      <c r="I43" s="32">
        <f>IF(OR($B43="",22&gt;=30),"",($D$9*30-SUM($B$22:$B43))/(30-22))</f>
        <v>0.94115953221535809</v>
      </c>
      <c r="J43" s="33">
        <f>IF($B43="","",1-NORMDIST($D$5,$D$6+$D$7*((SUM($B$22:$B43)+(30-22)*$H$7)/30),$D$11,TRUE))</f>
        <v>1.6982887856695328E-2</v>
      </c>
      <c r="K43" s="34">
        <f t="shared" si="1"/>
        <v>98.301711214330467</v>
      </c>
      <c r="L43" s="35">
        <v>3</v>
      </c>
      <c r="M43" s="34">
        <f t="shared" si="2"/>
        <v>1.3017112143304672</v>
      </c>
      <c r="N43" s="36">
        <v>1069.21</v>
      </c>
      <c r="O43" s="36">
        <v>6391.79</v>
      </c>
      <c r="P43" s="37" t="str">
        <f t="shared" si="3"/>
        <v/>
      </c>
      <c r="Q43" s="38"/>
      <c r="R43" s="96">
        <f t="shared" si="6"/>
        <v>0.65964254192409544</v>
      </c>
      <c r="S43" s="98">
        <f t="shared" si="4"/>
        <v>1.6982887856695328</v>
      </c>
    </row>
    <row r="44" spans="1:19" x14ac:dyDescent="0.2">
      <c r="A44" s="30" t="s">
        <v>99</v>
      </c>
      <c r="B44" s="31">
        <v>0.47899999999999998</v>
      </c>
      <c r="C44" s="31"/>
      <c r="D44" s="32" t="str">
        <f t="shared" si="0"/>
        <v/>
      </c>
      <c r="E44" s="32" t="str">
        <f t="shared" si="5"/>
        <v/>
      </c>
      <c r="F44" s="32">
        <f>IF($B44="","",AVERAGE($B$22:$B44))</f>
        <v>0.55386956521739128</v>
      </c>
      <c r="G44" s="32">
        <v>0.69899999999999995</v>
      </c>
      <c r="H44" s="32">
        <v>0.5353</v>
      </c>
      <c r="I44" s="32">
        <f>IF(OR($B44="",23&gt;=30),"",($D$9*30-SUM($B$22:$B44))/(30-23))</f>
        <v>1.0071823225318379</v>
      </c>
      <c r="J44" s="33">
        <f>IF($B44="","",1-NORMDIST($D$5,$D$6+$D$7*((SUM($B$22:$B44)+(30-23)*$H$7)/30),$D$11,TRUE))</f>
        <v>1.5192795548072846E-2</v>
      </c>
      <c r="K44" s="34">
        <f t="shared" si="1"/>
        <v>98.480720445192716</v>
      </c>
      <c r="L44" s="35">
        <v>3</v>
      </c>
      <c r="M44" s="34">
        <f t="shared" si="2"/>
        <v>1.4807204451927154</v>
      </c>
      <c r="N44" s="36">
        <v>236.95</v>
      </c>
      <c r="O44" s="36">
        <v>6505.3</v>
      </c>
      <c r="P44" s="37" t="str">
        <f t="shared" si="3"/>
        <v/>
      </c>
      <c r="Q44" s="38"/>
      <c r="R44" s="96">
        <f t="shared" si="6"/>
        <v>0.65964254192409544</v>
      </c>
      <c r="S44" s="98">
        <f t="shared" si="4"/>
        <v>1.5192795548072846</v>
      </c>
    </row>
    <row r="45" spans="1:19" x14ac:dyDescent="0.2">
      <c r="A45" s="30" t="s">
        <v>100</v>
      </c>
      <c r="B45" s="31">
        <v>0.442</v>
      </c>
      <c r="C45" s="31"/>
      <c r="D45" s="32" t="str">
        <f t="shared" si="0"/>
        <v/>
      </c>
      <c r="E45" s="32" t="str">
        <f t="shared" si="5"/>
        <v/>
      </c>
      <c r="F45" s="32">
        <f>IF($B45="","",AVERAGE($B$22:$B45))</f>
        <v>0.5492083333333333</v>
      </c>
      <c r="G45" s="32">
        <v>0.69279999999999997</v>
      </c>
      <c r="H45" s="32">
        <v>0.53490000000000004</v>
      </c>
      <c r="I45" s="32">
        <f>IF(OR($B45="",24&gt;=30),"",($D$9*30-SUM($B$22:$B45))/(30-24))</f>
        <v>1.1013793762871442</v>
      </c>
      <c r="J45" s="33">
        <f>IF($B45="","",1-NORMDIST($D$5,$D$6+$D$7*((SUM($B$22:$B45)+(30-24)*$H$7)/30),$D$11,TRUE))</f>
        <v>1.2729568439715289E-2</v>
      </c>
      <c r="K45" s="34">
        <f t="shared" si="1"/>
        <v>98.727043156028472</v>
      </c>
      <c r="L45" s="35">
        <v>5</v>
      </c>
      <c r="M45" s="34">
        <f t="shared" si="2"/>
        <v>3.7270431560284711</v>
      </c>
      <c r="N45" s="36">
        <v>774.95</v>
      </c>
      <c r="O45" s="36">
        <v>6708.46</v>
      </c>
      <c r="P45" s="37" t="str">
        <f t="shared" si="3"/>
        <v/>
      </c>
      <c r="Q45" s="38"/>
      <c r="R45" s="96">
        <f t="shared" si="6"/>
        <v>0.65964254192409544</v>
      </c>
      <c r="S45" s="98">
        <f t="shared" si="4"/>
        <v>1.2729568439715289</v>
      </c>
    </row>
    <row r="46" spans="1:19" x14ac:dyDescent="0.2">
      <c r="A46" s="30" t="s">
        <v>101</v>
      </c>
      <c r="B46" s="31">
        <v>0.48799999999999999</v>
      </c>
      <c r="C46" s="31"/>
      <c r="D46" s="32" t="str">
        <f t="shared" si="0"/>
        <v/>
      </c>
      <c r="E46" s="32" t="str">
        <f t="shared" si="5"/>
        <v/>
      </c>
      <c r="F46" s="32">
        <f>IF($B46="","",AVERAGE($B$22:$B46))</f>
        <v>0.54675999999999991</v>
      </c>
      <c r="G46" s="32">
        <v>0.68789999999999996</v>
      </c>
      <c r="H46" s="32">
        <v>0.53659999999999997</v>
      </c>
      <c r="I46" s="32">
        <f>IF(OR($B46="",25&gt;=30),"",($D$9*30-SUM($B$22:$B46))/(30-25))</f>
        <v>1.2240552515445731</v>
      </c>
      <c r="J46" s="33">
        <f>IF($B46="","",1-NORMDIST($D$5,$D$6+$D$7*((SUM($B$22:$B46)+(30-25)*$H$7)/30),$D$11,TRUE))</f>
        <v>1.1516577866699573E-2</v>
      </c>
      <c r="K46" s="34">
        <f t="shared" si="1"/>
        <v>98.848342213330042</v>
      </c>
      <c r="L46" s="35">
        <v>1</v>
      </c>
      <c r="M46" s="34">
        <f t="shared" si="2"/>
        <v>-0.15165778666995733</v>
      </c>
      <c r="N46" s="36">
        <v>1464.24</v>
      </c>
      <c r="O46" s="36">
        <v>6731.51</v>
      </c>
      <c r="P46" s="37" t="str">
        <f t="shared" si="3"/>
        <v/>
      </c>
      <c r="Q46" s="38"/>
      <c r="R46" s="96">
        <f t="shared" si="6"/>
        <v>0.65964254192409544</v>
      </c>
      <c r="S46" s="98">
        <f t="shared" si="4"/>
        <v>1.1516577866699573</v>
      </c>
    </row>
    <row r="47" spans="1:19" x14ac:dyDescent="0.2">
      <c r="A47" s="30" t="s">
        <v>102</v>
      </c>
      <c r="B47" s="31">
        <v>0.57299999999999995</v>
      </c>
      <c r="C47" s="31"/>
      <c r="D47" s="32" t="str">
        <f t="shared" si="0"/>
        <v/>
      </c>
      <c r="E47" s="32" t="str">
        <f t="shared" si="5"/>
        <v/>
      </c>
      <c r="F47" s="32">
        <f>IF($B47="","",AVERAGE($B$22:$B47))</f>
        <v>0.54776923076923079</v>
      </c>
      <c r="G47" s="32">
        <v>0.68510000000000004</v>
      </c>
      <c r="H47" s="32">
        <v>0.53790000000000004</v>
      </c>
      <c r="I47" s="32">
        <f>IF(OR($B47="",26&gt;=30),"",($D$9*30-SUM($B$22:$B47))/(30-26))</f>
        <v>1.3868190644307163</v>
      </c>
      <c r="J47" s="33">
        <f>IF($B47="","",1-NORMDIST($D$5,$D$6+$D$7*((SUM($B$22:$B47)+(30-26)*$H$7)/30),$D$11,TRUE))</f>
        <v>1.2083575262321844E-2</v>
      </c>
      <c r="K47" s="34">
        <f t="shared" si="1"/>
        <v>98.791642473767808</v>
      </c>
      <c r="L47" s="35">
        <v>4</v>
      </c>
      <c r="M47" s="34">
        <f t="shared" si="2"/>
        <v>2.7916424737678156</v>
      </c>
      <c r="N47" s="36">
        <v>1797.72</v>
      </c>
      <c r="O47" s="36">
        <v>8045.86</v>
      </c>
      <c r="P47" s="37" t="str">
        <f t="shared" si="3"/>
        <v/>
      </c>
      <c r="Q47" s="38"/>
      <c r="R47" s="96">
        <f t="shared" si="6"/>
        <v>0.65964254192409544</v>
      </c>
      <c r="S47" s="98">
        <f t="shared" si="4"/>
        <v>1.2083575262321844</v>
      </c>
    </row>
    <row r="48" spans="1:19" x14ac:dyDescent="0.2">
      <c r="A48" s="30" t="s">
        <v>103</v>
      </c>
      <c r="B48" s="31">
        <v>0.60899999999999999</v>
      </c>
      <c r="C48" s="31"/>
      <c r="D48" s="32" t="str">
        <f t="shared" si="0"/>
        <v/>
      </c>
      <c r="E48" s="32" t="str">
        <f t="shared" si="5"/>
        <v/>
      </c>
      <c r="F48" s="32">
        <f>IF($B48="","",AVERAGE($B$22:$B48))</f>
        <v>0.55003703703703699</v>
      </c>
      <c r="G48" s="32">
        <v>0.68279999999999996</v>
      </c>
      <c r="H48" s="32">
        <v>0.53869999999999996</v>
      </c>
      <c r="I48" s="32">
        <f>IF(OR($B48="",27&gt;=30),"",($D$9*30-SUM($B$22:$B48))/(30-27))</f>
        <v>1.6460920859076218</v>
      </c>
      <c r="J48" s="33">
        <f>IF($B48="","",1-NORMDIST($D$5,$D$6+$D$7*((SUM($B$22:$B48)+(30-27)*$H$7)/30),$D$11,TRUE))</f>
        <v>1.3486039331297328E-2</v>
      </c>
      <c r="K48" s="34">
        <f t="shared" si="1"/>
        <v>98.651396066870262</v>
      </c>
      <c r="L48" s="35">
        <v>5</v>
      </c>
      <c r="M48" s="34">
        <f t="shared" si="2"/>
        <v>3.6513960668702672</v>
      </c>
      <c r="N48" s="36">
        <v>2166.13</v>
      </c>
      <c r="O48" s="36">
        <v>8874.5300000000007</v>
      </c>
      <c r="P48" s="37" t="str">
        <f t="shared" si="3"/>
        <v/>
      </c>
      <c r="Q48" s="38"/>
      <c r="R48" s="96">
        <f t="shared" si="6"/>
        <v>0.65964254192409544</v>
      </c>
      <c r="S48" s="98">
        <f t="shared" si="4"/>
        <v>1.3486039331297328</v>
      </c>
    </row>
    <row r="49" spans="1:19" x14ac:dyDescent="0.2">
      <c r="A49" s="30" t="s">
        <v>104</v>
      </c>
      <c r="B49" s="31">
        <v>0.65300000000000002</v>
      </c>
      <c r="C49" s="31"/>
      <c r="D49" s="32" t="str">
        <f t="shared" si="0"/>
        <v/>
      </c>
      <c r="E49" s="32" t="str">
        <f t="shared" si="5"/>
        <v/>
      </c>
      <c r="F49" s="32">
        <f>IF($B49="","",AVERAGE($B$22:$B49))</f>
        <v>0.55371428571428571</v>
      </c>
      <c r="G49" s="32">
        <v>0.6804</v>
      </c>
      <c r="H49" s="32">
        <v>0.53769999999999996</v>
      </c>
      <c r="I49" s="32">
        <f>IF(OR($B49="",28&gt;=30),"",($D$9*30-SUM($B$22:$B49))/(30-28))</f>
        <v>2.1426381288614325</v>
      </c>
      <c r="J49" s="33">
        <f>IF($B49="","",1-NORMDIST($D$5,$D$6+$D$7*((SUM($B$22:$B49)+(30-28)*$H$7)/30),$D$11,TRUE))</f>
        <v>1.6181206498915413E-2</v>
      </c>
      <c r="K49" s="34">
        <f t="shared" si="1"/>
        <v>98.381879350108463</v>
      </c>
      <c r="L49" s="35">
        <v>5</v>
      </c>
      <c r="M49" s="34">
        <f t="shared" si="2"/>
        <v>3.3818793501084587</v>
      </c>
      <c r="N49" s="36">
        <v>836.56</v>
      </c>
      <c r="O49" s="36">
        <v>9529.0499999999993</v>
      </c>
      <c r="P49" s="37" t="str">
        <f t="shared" si="3"/>
        <v/>
      </c>
      <c r="Q49" s="38"/>
      <c r="R49" s="96">
        <f t="shared" si="6"/>
        <v>0.65964254192409544</v>
      </c>
      <c r="S49" s="98">
        <f t="shared" si="4"/>
        <v>1.6181206498915413</v>
      </c>
    </row>
    <row r="50" spans="1:19" x14ac:dyDescent="0.2">
      <c r="A50" s="30" t="s">
        <v>105</v>
      </c>
      <c r="B50" s="31">
        <v>0.64</v>
      </c>
      <c r="C50" s="31"/>
      <c r="D50" s="32" t="str">
        <f t="shared" si="0"/>
        <v/>
      </c>
      <c r="E50" s="32" t="str">
        <f t="shared" si="5"/>
        <v/>
      </c>
      <c r="F50" s="32">
        <f>IF($B50="","",AVERAGE($B$22:$B50))</f>
        <v>0.55668965517241376</v>
      </c>
      <c r="G50" s="32">
        <v>0.67810000000000004</v>
      </c>
      <c r="H50" s="32">
        <v>0.53610000000000002</v>
      </c>
      <c r="I50" s="32">
        <f>IF(OR($B50="",29&gt;=30),"",($D$9*30-SUM($B$22:$B50))/(30-29))</f>
        <v>3.6452762577228661</v>
      </c>
      <c r="J50" s="33">
        <f>IF($B50="","",1-NORMDIST($D$5,$D$6+$D$7*((SUM($B$22:$B50)+(30-29)*$H$7)/30),$D$11,TRUE))</f>
        <v>1.8919335208801513E-2</v>
      </c>
      <c r="K50" s="34">
        <f t="shared" si="1"/>
        <v>98.108066479119856</v>
      </c>
      <c r="L50" s="35">
        <v>6</v>
      </c>
      <c r="M50" s="34">
        <f t="shared" si="2"/>
        <v>4.1080664791198487</v>
      </c>
      <c r="N50" s="36">
        <v>4397.78</v>
      </c>
      <c r="O50" s="36">
        <v>10426.16</v>
      </c>
      <c r="P50" s="37" t="str">
        <f t="shared" si="3"/>
        <v/>
      </c>
      <c r="Q50" s="38"/>
      <c r="R50" s="96">
        <f t="shared" si="6"/>
        <v>0.65964254192409544</v>
      </c>
      <c r="S50" s="98">
        <f t="shared" si="4"/>
        <v>1.8919335208801513</v>
      </c>
    </row>
    <row r="51" spans="1:19" x14ac:dyDescent="0.2">
      <c r="A51" s="30" t="s">
        <v>106</v>
      </c>
      <c r="B51" s="31">
        <v>0.63500000000000001</v>
      </c>
      <c r="C51" s="31"/>
      <c r="D51" s="32" t="str">
        <f t="shared" si="0"/>
        <v/>
      </c>
      <c r="E51" s="32" t="str">
        <f t="shared" si="5"/>
        <v/>
      </c>
      <c r="F51" s="32">
        <f>IF($B51="","",AVERAGE($B$22:$B51))</f>
        <v>0.55930000000000002</v>
      </c>
      <c r="G51" s="32">
        <v>0.67530000000000001</v>
      </c>
      <c r="H51" s="32">
        <v>0.53200000000000003</v>
      </c>
      <c r="I51" s="32" t="str">
        <f>IF(OR($B51="",30&gt;=30),"",($D$9*30-SUM($B$22:$B51))/(30-30))</f>
        <v/>
      </c>
      <c r="J51" s="33">
        <f>IF($B51="","",1-NORMDIST($D$5,$D$6+$D$7*((SUM($B$22:$B51)+(30-30)*$H$7)/30),$D$11,TRUE))</f>
        <v>2.1866529245471611E-2</v>
      </c>
      <c r="K51" s="34">
        <f t="shared" si="1"/>
        <v>97.813347075452839</v>
      </c>
      <c r="L51" s="35">
        <v>3</v>
      </c>
      <c r="M51" s="34">
        <f t="shared" si="2"/>
        <v>0.81334707545283891</v>
      </c>
      <c r="N51" s="36">
        <v>1818.51</v>
      </c>
      <c r="O51" s="36">
        <v>10493.42</v>
      </c>
      <c r="P51" s="37" t="str">
        <f t="shared" si="3"/>
        <v/>
      </c>
      <c r="Q51" s="38"/>
      <c r="R51" s="96">
        <f t="shared" si="6"/>
        <v>0.65964254192409544</v>
      </c>
      <c r="S51" s="98">
        <f t="shared" si="4"/>
        <v>2.1866529245471611</v>
      </c>
    </row>
    <row r="52" spans="1:19" x14ac:dyDescent="0.2">
      <c r="A52" s="57" t="s">
        <v>107</v>
      </c>
      <c r="B52" s="55">
        <f t="shared" ref="B52:H52" si="7">AVERAGE(B21:B51)</f>
        <v>0.55725806451612914</v>
      </c>
      <c r="C52" s="55" t="e">
        <f t="shared" si="7"/>
        <v>#DIV/0!</v>
      </c>
      <c r="D52" s="55" t="e">
        <f t="shared" si="7"/>
        <v>#DIV/0!</v>
      </c>
      <c r="E52" s="55" t="e">
        <f t="shared" si="7"/>
        <v>#DIV/0!</v>
      </c>
      <c r="F52" s="55">
        <f t="shared" si="7"/>
        <v>0.5741341860958975</v>
      </c>
      <c r="G52" s="55">
        <f t="shared" si="7"/>
        <v>0.73702580645161275</v>
      </c>
      <c r="H52" s="55">
        <f t="shared" si="7"/>
        <v>0.54938387096774188</v>
      </c>
      <c r="I52" s="55"/>
      <c r="J52" s="58">
        <f>AVERAGE(J21:J51)</f>
        <v>2.067041481886055E-2</v>
      </c>
      <c r="K52" s="56">
        <f>AVERAGE(K21:K51)</f>
        <v>97.932958518113949</v>
      </c>
      <c r="L52" s="56">
        <f>AVERAGE(L18:L51)</f>
        <v>8.9411764705882355</v>
      </c>
      <c r="M52" s="56">
        <f>AVERAGE(M18:M51)</f>
        <v>5.7662918514472778</v>
      </c>
      <c r="N52" s="56">
        <f>AVERAGE(N18:N51)</f>
        <v>793.93823529411759</v>
      </c>
      <c r="O52" s="56">
        <f>AVERAGE(O18:O51)</f>
        <v>4192.6473529411769</v>
      </c>
    </row>
    <row r="54" spans="1:19" x14ac:dyDescent="0.2">
      <c r="A54" s="170" t="s">
        <v>108</v>
      </c>
      <c r="B54" s="169"/>
      <c r="C54" s="169"/>
      <c r="E54" s="39" t="s">
        <v>109</v>
      </c>
      <c r="F54" s="39"/>
      <c r="H54" s="170" t="s">
        <v>110</v>
      </c>
      <c r="I54" s="169"/>
      <c r="J54" s="169"/>
      <c r="K54" s="169"/>
      <c r="L54" s="169"/>
    </row>
    <row r="55" spans="1:19" x14ac:dyDescent="0.2">
      <c r="A55" s="40" t="s">
        <v>111</v>
      </c>
      <c r="B55" s="40" t="s">
        <v>112</v>
      </c>
      <c r="C55" s="40" t="s">
        <v>113</v>
      </c>
      <c r="E55" s="40" t="s">
        <v>114</v>
      </c>
      <c r="F55" s="40" t="s">
        <v>115</v>
      </c>
      <c r="H55" s="40" t="s">
        <v>116</v>
      </c>
      <c r="I55" s="40" t="s">
        <v>117</v>
      </c>
      <c r="J55" s="40" t="s">
        <v>118</v>
      </c>
      <c r="K55" s="40" t="s">
        <v>119</v>
      </c>
      <c r="L55" s="40" t="s">
        <v>120</v>
      </c>
    </row>
    <row r="56" spans="1:19" x14ac:dyDescent="0.2">
      <c r="A56" s="41">
        <v>1990</v>
      </c>
      <c r="B56" s="42">
        <v>-0.18340000000000001</v>
      </c>
      <c r="C56" s="43">
        <v>0.36</v>
      </c>
      <c r="E56" s="49">
        <v>0</v>
      </c>
      <c r="F56" s="50">
        <v>9.1999999999999998E-2</v>
      </c>
      <c r="H56" s="44" t="s">
        <v>121</v>
      </c>
      <c r="I56" s="45">
        <v>0.50960000000000005</v>
      </c>
      <c r="J56" s="46">
        <v>1.1000000000000001</v>
      </c>
      <c r="K56" s="47">
        <v>1.0963000000000001</v>
      </c>
      <c r="L56" s="48">
        <v>3.7000000000000002E-3</v>
      </c>
    </row>
    <row r="57" spans="1:19" x14ac:dyDescent="0.2">
      <c r="A57" s="41">
        <v>1991</v>
      </c>
      <c r="B57" s="42">
        <v>2.8899999999999999E-2</v>
      </c>
      <c r="C57" s="43">
        <v>0.53</v>
      </c>
      <c r="E57" s="49">
        <v>1</v>
      </c>
      <c r="F57" s="50">
        <v>7.6399999999999996E-2</v>
      </c>
      <c r="H57" s="44" t="s">
        <v>122</v>
      </c>
      <c r="I57" s="45">
        <v>0.53610000000000002</v>
      </c>
      <c r="J57" s="46">
        <v>1.18</v>
      </c>
      <c r="K57" s="47">
        <v>1.1486000000000001</v>
      </c>
      <c r="L57" s="48">
        <v>3.1399999999999997E-2</v>
      </c>
    </row>
    <row r="58" spans="1:19" x14ac:dyDescent="0.2">
      <c r="A58" s="41">
        <v>1992</v>
      </c>
      <c r="B58" s="42">
        <v>-0.32169999999999999</v>
      </c>
      <c r="C58" s="43">
        <v>0.28000000000000003</v>
      </c>
      <c r="E58" s="49">
        <v>2</v>
      </c>
      <c r="F58" s="50">
        <v>7.3800000000000004E-2</v>
      </c>
      <c r="H58" s="44" t="s">
        <v>123</v>
      </c>
      <c r="I58" s="45">
        <v>0.53400000000000003</v>
      </c>
      <c r="J58" s="46">
        <v>1.23</v>
      </c>
      <c r="K58" s="47">
        <v>1.1708000000000001</v>
      </c>
      <c r="L58" s="48">
        <v>5.9200000000000003E-2</v>
      </c>
    </row>
    <row r="59" spans="1:19" x14ac:dyDescent="0.2">
      <c r="A59" s="41">
        <v>1993</v>
      </c>
      <c r="B59" s="42">
        <v>-0.30149999999999999</v>
      </c>
      <c r="C59" s="43">
        <v>0.28000000000000003</v>
      </c>
      <c r="E59" s="49">
        <v>3</v>
      </c>
      <c r="F59" s="50">
        <v>7.1999999999999995E-2</v>
      </c>
      <c r="H59" s="44" t="s">
        <v>124</v>
      </c>
      <c r="I59" s="45">
        <v>0.5232</v>
      </c>
      <c r="J59" s="46">
        <v>1.1499999999999999</v>
      </c>
      <c r="K59" s="47">
        <v>1.1160000000000001</v>
      </c>
      <c r="L59" s="48">
        <v>3.4000000000000002E-2</v>
      </c>
    </row>
    <row r="60" spans="1:19" x14ac:dyDescent="0.2">
      <c r="A60" s="41">
        <v>1994</v>
      </c>
      <c r="B60" s="42">
        <v>-0.253</v>
      </c>
      <c r="C60" s="43">
        <v>0.4</v>
      </c>
      <c r="E60" s="49">
        <v>4</v>
      </c>
      <c r="F60" s="50">
        <v>7.1400000000000005E-2</v>
      </c>
      <c r="H60" s="44" t="s">
        <v>125</v>
      </c>
      <c r="I60" s="45">
        <v>0.54549999999999998</v>
      </c>
      <c r="J60" s="46">
        <v>1.08</v>
      </c>
      <c r="K60" s="47">
        <v>1.0698000000000001</v>
      </c>
      <c r="L60" s="48">
        <v>1.0200000000000001E-2</v>
      </c>
    </row>
    <row r="61" spans="1:19" x14ac:dyDescent="0.2">
      <c r="A61" s="41">
        <v>1995</v>
      </c>
      <c r="B61" s="42">
        <v>-8.5000000000000006E-2</v>
      </c>
      <c r="C61" s="43">
        <v>0.46</v>
      </c>
      <c r="E61" s="49">
        <v>5</v>
      </c>
      <c r="F61" s="50">
        <v>6.9699999999999998E-2</v>
      </c>
      <c r="H61" s="44" t="s">
        <v>126</v>
      </c>
      <c r="I61" s="45">
        <v>0.55930000000000002</v>
      </c>
      <c r="J61" s="46">
        <v>1.0900000000000001</v>
      </c>
      <c r="K61" s="47">
        <v>1.0941000000000001</v>
      </c>
      <c r="L61" s="48">
        <v>-4.1000000000000003E-3</v>
      </c>
    </row>
    <row r="62" spans="1:19" x14ac:dyDescent="0.2">
      <c r="A62" s="41">
        <v>1996</v>
      </c>
      <c r="B62" s="42">
        <v>-0.31480000000000002</v>
      </c>
      <c r="C62" s="43">
        <v>0.28000000000000003</v>
      </c>
      <c r="E62" s="49">
        <v>6</v>
      </c>
      <c r="F62" s="50">
        <v>6.6400000000000001E-2</v>
      </c>
      <c r="H62" s="51" t="s">
        <v>107</v>
      </c>
      <c r="I62" s="45">
        <f>AVERAGE(I56:I61)</f>
        <v>0.53461666666666663</v>
      </c>
      <c r="J62" s="52">
        <f>AVERAGE(J56:J61)</f>
        <v>1.1383333333333334</v>
      </c>
      <c r="K62" s="52">
        <f>AVERAGE(K56:K61)</f>
        <v>1.1159333333333334</v>
      </c>
      <c r="L62" s="48">
        <f>AVERAGE(L56:L61)</f>
        <v>2.2400000000000003E-2</v>
      </c>
    </row>
    <row r="63" spans="1:19" x14ac:dyDescent="0.2">
      <c r="A63" s="41">
        <v>1997</v>
      </c>
      <c r="B63" s="42">
        <v>-7.9000000000000001E-2</v>
      </c>
      <c r="C63" s="43">
        <v>0.56999999999999995</v>
      </c>
      <c r="E63" s="49">
        <v>7</v>
      </c>
      <c r="F63" s="50">
        <v>6.2799999999999995E-2</v>
      </c>
    </row>
    <row r="64" spans="1:19" x14ac:dyDescent="0.2">
      <c r="A64" s="41">
        <v>1998</v>
      </c>
      <c r="B64" s="42">
        <v>0.18429999999999999</v>
      </c>
      <c r="C64" s="43">
        <v>0.7</v>
      </c>
      <c r="E64" s="49">
        <v>8</v>
      </c>
      <c r="F64" s="50">
        <v>5.9900000000000002E-2</v>
      </c>
    </row>
    <row r="65" spans="1:6" x14ac:dyDescent="0.2">
      <c r="A65" s="41">
        <v>1999</v>
      </c>
      <c r="B65" s="42">
        <v>-0.2311</v>
      </c>
      <c r="C65" s="43">
        <v>0.4</v>
      </c>
      <c r="E65" s="49">
        <v>9</v>
      </c>
      <c r="F65" s="50">
        <v>5.6899999999999999E-2</v>
      </c>
    </row>
    <row r="66" spans="1:6" x14ac:dyDescent="0.2">
      <c r="A66" s="41">
        <v>2000</v>
      </c>
      <c r="B66" s="42">
        <v>-0.2429</v>
      </c>
      <c r="C66" s="43">
        <v>0.4</v>
      </c>
      <c r="E66" s="49">
        <v>10</v>
      </c>
      <c r="F66" s="50">
        <v>5.3499999999999999E-2</v>
      </c>
    </row>
    <row r="67" spans="1:6" x14ac:dyDescent="0.2">
      <c r="A67" s="41">
        <v>2001</v>
      </c>
      <c r="B67" s="42">
        <v>-0.1099</v>
      </c>
      <c r="C67" s="43">
        <v>0.53</v>
      </c>
      <c r="E67" s="49">
        <v>11</v>
      </c>
      <c r="F67" s="50">
        <v>4.9599999999999998E-2</v>
      </c>
    </row>
    <row r="68" spans="1:6" x14ac:dyDescent="0.2">
      <c r="A68" s="41">
        <v>2002</v>
      </c>
      <c r="B68" s="42">
        <v>2.4199999999999999E-2</v>
      </c>
      <c r="C68" s="43">
        <v>0.55000000000000004</v>
      </c>
      <c r="E68" s="49">
        <v>12</v>
      </c>
      <c r="F68" s="50">
        <v>4.5999999999999999E-2</v>
      </c>
    </row>
    <row r="69" spans="1:6" x14ac:dyDescent="0.2">
      <c r="A69" s="41">
        <v>2003</v>
      </c>
      <c r="B69" s="42">
        <v>-0.13769999999999999</v>
      </c>
      <c r="C69" s="43">
        <v>0.47</v>
      </c>
      <c r="E69" s="49">
        <v>13</v>
      </c>
      <c r="F69" s="50">
        <v>4.2799999999999998E-2</v>
      </c>
    </row>
    <row r="70" spans="1:6" x14ac:dyDescent="0.2">
      <c r="A70" s="41">
        <v>2004</v>
      </c>
      <c r="B70" s="42">
        <v>-9.2299999999999993E-2</v>
      </c>
      <c r="C70" s="43">
        <v>0.41</v>
      </c>
      <c r="E70" s="49">
        <v>14</v>
      </c>
      <c r="F70" s="50">
        <v>4.0500000000000001E-2</v>
      </c>
    </row>
    <row r="71" spans="1:6" x14ac:dyDescent="0.2">
      <c r="A71" s="41">
        <v>2005</v>
      </c>
      <c r="B71" s="42">
        <v>7.7499999999999999E-2</v>
      </c>
      <c r="C71" s="43">
        <v>0.64</v>
      </c>
      <c r="E71" s="49">
        <v>15</v>
      </c>
      <c r="F71" s="50">
        <v>3.8699999999999998E-2</v>
      </c>
    </row>
    <row r="72" spans="1:6" x14ac:dyDescent="0.2">
      <c r="A72" s="41">
        <v>2006</v>
      </c>
      <c r="B72" s="42">
        <v>8.2199999999999995E-2</v>
      </c>
      <c r="C72" s="43">
        <v>0.62</v>
      </c>
      <c r="E72" s="49">
        <v>16</v>
      </c>
      <c r="F72" s="50">
        <v>3.6700000000000003E-2</v>
      </c>
    </row>
    <row r="73" spans="1:6" x14ac:dyDescent="0.2">
      <c r="A73" s="41">
        <v>2007</v>
      </c>
      <c r="B73" s="42">
        <v>-2.2700000000000001E-2</v>
      </c>
      <c r="C73" s="43">
        <v>0.56999999999999995</v>
      </c>
      <c r="E73" s="49">
        <v>17</v>
      </c>
      <c r="F73" s="50">
        <v>3.4599999999999999E-2</v>
      </c>
    </row>
    <row r="74" spans="1:6" x14ac:dyDescent="0.2">
      <c r="A74" s="41">
        <v>2008</v>
      </c>
      <c r="B74" s="42">
        <v>-0.1973</v>
      </c>
      <c r="C74" s="43">
        <v>0.46</v>
      </c>
      <c r="E74" s="49">
        <v>18</v>
      </c>
      <c r="F74" s="50">
        <v>3.2300000000000002E-2</v>
      </c>
    </row>
    <row r="75" spans="1:6" x14ac:dyDescent="0.2">
      <c r="A75" s="41">
        <v>2009</v>
      </c>
      <c r="B75" s="42">
        <v>5.4000000000000003E-3</v>
      </c>
      <c r="C75" s="43">
        <v>0.67</v>
      </c>
      <c r="E75" s="49">
        <v>19</v>
      </c>
      <c r="F75" s="50">
        <v>2.9700000000000001E-2</v>
      </c>
    </row>
    <row r="76" spans="1:6" x14ac:dyDescent="0.2">
      <c r="A76" s="41">
        <v>2010</v>
      </c>
      <c r="B76" s="42">
        <v>8.7599999999999997E-2</v>
      </c>
      <c r="C76" s="43">
        <v>0.68</v>
      </c>
      <c r="E76" s="49">
        <v>20</v>
      </c>
      <c r="F76" s="50">
        <v>2.7099999999999999E-2</v>
      </c>
    </row>
    <row r="77" spans="1:6" x14ac:dyDescent="0.2">
      <c r="A77" s="41">
        <v>2011</v>
      </c>
      <c r="B77" s="42">
        <v>2.1399999999999999E-2</v>
      </c>
      <c r="C77" s="43">
        <v>0.6</v>
      </c>
      <c r="E77" s="49">
        <v>21</v>
      </c>
      <c r="F77" s="50">
        <v>2.4400000000000002E-2</v>
      </c>
    </row>
    <row r="78" spans="1:6" x14ac:dyDescent="0.2">
      <c r="A78" s="41">
        <v>2012</v>
      </c>
      <c r="B78" s="42">
        <v>0.1205</v>
      </c>
      <c r="C78" s="43">
        <v>0.68</v>
      </c>
      <c r="E78" s="49">
        <v>22</v>
      </c>
      <c r="F78" s="50">
        <v>2.18E-2</v>
      </c>
    </row>
    <row r="79" spans="1:6" x14ac:dyDescent="0.2">
      <c r="A79" s="41">
        <v>2013</v>
      </c>
      <c r="B79" s="42">
        <v>0.1084</v>
      </c>
      <c r="C79" s="43">
        <v>0.7</v>
      </c>
      <c r="E79" s="49">
        <v>23</v>
      </c>
      <c r="F79" s="50">
        <v>1.9599999999999999E-2</v>
      </c>
    </row>
    <row r="80" spans="1:6" x14ac:dyDescent="0.2">
      <c r="A80" s="41">
        <v>2014</v>
      </c>
      <c r="B80" s="42">
        <v>7.3200000000000001E-2</v>
      </c>
      <c r="C80" s="43">
        <v>0.71</v>
      </c>
      <c r="E80" s="49">
        <v>24</v>
      </c>
      <c r="F80" s="50">
        <v>1.7500000000000002E-2</v>
      </c>
    </row>
    <row r="81" spans="1:6" x14ac:dyDescent="0.2">
      <c r="A81" s="41">
        <v>2015</v>
      </c>
      <c r="B81" s="42">
        <v>0.18729999999999999</v>
      </c>
      <c r="C81" s="43">
        <v>0.83</v>
      </c>
      <c r="E81" s="49">
        <v>25</v>
      </c>
      <c r="F81" s="50">
        <v>1.52E-2</v>
      </c>
    </row>
    <row r="82" spans="1:6" x14ac:dyDescent="0.2">
      <c r="A82" s="41">
        <v>2016</v>
      </c>
      <c r="B82" s="42">
        <v>0.26229999999999998</v>
      </c>
      <c r="C82" s="43">
        <v>0.82</v>
      </c>
      <c r="E82" s="49">
        <v>26</v>
      </c>
      <c r="F82" s="50">
        <v>1.2500000000000001E-2</v>
      </c>
    </row>
    <row r="83" spans="1:6" x14ac:dyDescent="0.2">
      <c r="A83" s="41">
        <v>2017</v>
      </c>
      <c r="B83" s="42">
        <v>0.20280000000000001</v>
      </c>
      <c r="C83" s="43">
        <v>0.77</v>
      </c>
      <c r="E83" s="49">
        <v>27</v>
      </c>
      <c r="F83" s="50">
        <v>9.7999999999999997E-3</v>
      </c>
    </row>
    <row r="84" spans="1:6" x14ac:dyDescent="0.2">
      <c r="A84" s="41">
        <v>2018</v>
      </c>
      <c r="B84" s="42">
        <v>0.22600000000000001</v>
      </c>
      <c r="C84" s="43">
        <v>0.8</v>
      </c>
      <c r="E84" s="49">
        <v>28</v>
      </c>
      <c r="F84" s="50">
        <v>6.7999999999999996E-3</v>
      </c>
    </row>
    <row r="85" spans="1:6" x14ac:dyDescent="0.2">
      <c r="A85" s="41">
        <v>2019</v>
      </c>
      <c r="B85" s="42">
        <v>0.36969999999999997</v>
      </c>
      <c r="C85" s="43">
        <v>0.92</v>
      </c>
      <c r="E85" s="49">
        <v>29</v>
      </c>
      <c r="F85" s="50">
        <v>3.3999999999999998E-3</v>
      </c>
    </row>
    <row r="86" spans="1:6" x14ac:dyDescent="0.2">
      <c r="A86" s="41">
        <v>2020</v>
      </c>
      <c r="B86" s="42">
        <v>0.36120000000000002</v>
      </c>
      <c r="C86" s="43">
        <v>0.94</v>
      </c>
      <c r="E86" s="49">
        <v>30</v>
      </c>
      <c r="F86" s="50">
        <v>0</v>
      </c>
    </row>
    <row r="87" spans="1:6" x14ac:dyDescent="0.2">
      <c r="A87" s="41">
        <v>2021</v>
      </c>
      <c r="B87" s="42">
        <v>0.21360000000000001</v>
      </c>
      <c r="C87" s="43">
        <v>0.84</v>
      </c>
    </row>
    <row r="88" spans="1:6" x14ac:dyDescent="0.2">
      <c r="A88" s="41">
        <v>2022</v>
      </c>
      <c r="B88" s="42">
        <v>0.30890000000000001</v>
      </c>
      <c r="C88" s="43">
        <v>0.92</v>
      </c>
    </row>
    <row r="89" spans="1:6" x14ac:dyDescent="0.2">
      <c r="A89" s="41">
        <v>2023</v>
      </c>
      <c r="B89" s="42">
        <v>0.53200000000000003</v>
      </c>
      <c r="C89" s="43">
        <v>1.07</v>
      </c>
    </row>
    <row r="90" spans="1:6" x14ac:dyDescent="0.2">
      <c r="A90" s="41">
        <v>2024</v>
      </c>
      <c r="B90" s="42">
        <v>0.67530000000000001</v>
      </c>
      <c r="C90" s="43">
        <v>1.18</v>
      </c>
    </row>
    <row r="91" spans="1:6" x14ac:dyDescent="0.2">
      <c r="A91" s="41">
        <v>2025</v>
      </c>
      <c r="B91" s="42">
        <v>0.47510000000000002</v>
      </c>
      <c r="C91" s="43">
        <v>0.96</v>
      </c>
    </row>
  </sheetData>
  <mergeCells count="56">
    <mergeCell ref="H54:L54"/>
    <mergeCell ref="E9:G9"/>
    <mergeCell ref="I12:K12"/>
    <mergeCell ref="I15:K15"/>
    <mergeCell ref="M13:P13"/>
    <mergeCell ref="M15:P15"/>
    <mergeCell ref="M14:P14"/>
    <mergeCell ref="E15:G15"/>
    <mergeCell ref="A1:Q1"/>
    <mergeCell ref="E6:G6"/>
    <mergeCell ref="E3:H3"/>
    <mergeCell ref="I10:K10"/>
    <mergeCell ref="I13:K13"/>
    <mergeCell ref="I9:K9"/>
    <mergeCell ref="A2:Q2"/>
    <mergeCell ref="A9:C9"/>
    <mergeCell ref="M11:P11"/>
    <mergeCell ref="E12:G12"/>
    <mergeCell ref="A15:C15"/>
    <mergeCell ref="M10:P10"/>
    <mergeCell ref="M3:Q3"/>
    <mergeCell ref="E10:G10"/>
    <mergeCell ref="A54:C54"/>
    <mergeCell ref="M4:P4"/>
    <mergeCell ref="E11:G11"/>
    <mergeCell ref="A5:C5"/>
    <mergeCell ref="I14:K14"/>
    <mergeCell ref="A14:C14"/>
    <mergeCell ref="A8:C8"/>
    <mergeCell ref="I5:K5"/>
    <mergeCell ref="I8:K8"/>
    <mergeCell ref="I4:K4"/>
    <mergeCell ref="A4:C4"/>
    <mergeCell ref="E7:G7"/>
    <mergeCell ref="M9:P9"/>
    <mergeCell ref="A10:C10"/>
    <mergeCell ref="M5:P5"/>
    <mergeCell ref="A13:C13"/>
    <mergeCell ref="E14:G14"/>
    <mergeCell ref="I3:L3"/>
    <mergeCell ref="E5:G5"/>
    <mergeCell ref="A3:D3"/>
    <mergeCell ref="E8:G8"/>
    <mergeCell ref="A12:C12"/>
    <mergeCell ref="E13:G13"/>
    <mergeCell ref="M7:P7"/>
    <mergeCell ref="A6:C6"/>
    <mergeCell ref="M6:P6"/>
    <mergeCell ref="E4:G4"/>
    <mergeCell ref="M12:P12"/>
    <mergeCell ref="A7:C7"/>
    <mergeCell ref="I7:K7"/>
    <mergeCell ref="I6:K6"/>
    <mergeCell ref="I11:K11"/>
    <mergeCell ref="A11:C11"/>
    <mergeCell ref="M8:P8"/>
  </mergeCells>
  <conditionalFormatting sqref="B22:B51">
    <cfRule type="cellIs" dxfId="23" priority="5" operator="greaterThanOrEqual">
      <formula>$D$9</formula>
    </cfRule>
  </conditionalFormatting>
  <conditionalFormatting sqref="D12">
    <cfRule type="cellIs" dxfId="22" priority="6" operator="equal">
      <formula>"DRIFT"</formula>
    </cfRule>
  </conditionalFormatting>
  <conditionalFormatting sqref="E18:E51">
    <cfRule type="cellIs" dxfId="21" priority="1" operator="greaterThan">
      <formula>0.05</formula>
    </cfRule>
    <cfRule type="cellIs" dxfId="20" priority="2" operator="lessThan">
      <formula>-0.05</formula>
    </cfRule>
  </conditionalFormatting>
  <conditionalFormatting sqref="M18:M51">
    <cfRule type="cellIs" dxfId="19" priority="3" operator="greaterThanOrEqual">
      <formula>3</formula>
    </cfRule>
    <cfRule type="cellIs" dxfId="18" priority="4" operator="lessThanOrEqual">
      <formula>-3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2"/>
  <sheetViews>
    <sheetView topLeftCell="A28" zoomScale="158" zoomScaleNormal="113" workbookViewId="0">
      <selection activeCell="L44" sqref="L44"/>
    </sheetView>
  </sheetViews>
  <sheetFormatPr baseColWidth="10" defaultColWidth="8" defaultRowHeight="15" x14ac:dyDescent="0.2"/>
  <cols>
    <col min="1" max="1" width="6.33203125" style="53" bestFit="1" customWidth="1"/>
    <col min="2" max="2" width="9.83203125" style="53" bestFit="1" customWidth="1"/>
    <col min="3" max="3" width="11" style="53" customWidth="1"/>
    <col min="4" max="4" width="8.1640625" style="53" bestFit="1" customWidth="1"/>
    <col min="5" max="5" width="6.6640625" style="53" bestFit="1" customWidth="1"/>
    <col min="6" max="6" width="9" style="53" bestFit="1" customWidth="1"/>
    <col min="7" max="7" width="7" style="53" bestFit="1" customWidth="1"/>
    <col min="8" max="8" width="8.1640625" style="53" bestFit="1" customWidth="1"/>
    <col min="9" max="9" width="10" style="53" bestFit="1" customWidth="1"/>
    <col min="10" max="10" width="6.83203125" style="53" bestFit="1" customWidth="1"/>
    <col min="11" max="11" width="7.33203125" style="53" bestFit="1" customWidth="1"/>
    <col min="12" max="12" width="13.1640625" style="53" bestFit="1" customWidth="1"/>
    <col min="13" max="13" width="6" style="53" bestFit="1" customWidth="1"/>
    <col min="14" max="14" width="8" style="53" bestFit="1" customWidth="1"/>
    <col min="15" max="15" width="8.6640625" style="53" bestFit="1" customWidth="1"/>
    <col min="16" max="16" width="18.83203125" style="53" bestFit="1" customWidth="1"/>
    <col min="17" max="17" width="7.83203125" style="53" bestFit="1" customWidth="1"/>
    <col min="18" max="18" width="6.6640625" style="53" bestFit="1" customWidth="1"/>
    <col min="19" max="24" width="8" style="53" customWidth="1"/>
    <col min="25" max="16384" width="8" style="53"/>
  </cols>
  <sheetData>
    <row r="1" spans="1:17" ht="24" customHeight="1" x14ac:dyDescent="0.2">
      <c r="A1" s="171" t="s">
        <v>127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</row>
    <row r="2" spans="1:17" x14ac:dyDescent="0.2">
      <c r="A2" s="172" t="s">
        <v>128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</row>
    <row r="3" spans="1:17" x14ac:dyDescent="0.2">
      <c r="A3" s="168" t="s">
        <v>2</v>
      </c>
      <c r="B3" s="169"/>
      <c r="C3" s="169"/>
      <c r="D3" s="169"/>
      <c r="E3" s="168" t="s">
        <v>3</v>
      </c>
      <c r="F3" s="169"/>
      <c r="G3" s="169"/>
      <c r="H3" s="169"/>
      <c r="I3" s="168" t="s">
        <v>4</v>
      </c>
      <c r="J3" s="169"/>
      <c r="K3" s="169"/>
      <c r="L3" s="169"/>
      <c r="M3" s="168" t="s">
        <v>5</v>
      </c>
      <c r="N3" s="169"/>
      <c r="O3" s="169"/>
      <c r="P3" s="169"/>
      <c r="Q3" s="169"/>
    </row>
    <row r="4" spans="1:17" x14ac:dyDescent="0.2">
      <c r="A4" s="164" t="s">
        <v>6</v>
      </c>
      <c r="B4" s="165"/>
      <c r="C4" s="166"/>
      <c r="D4" s="1">
        <v>1.18</v>
      </c>
      <c r="E4" s="164" t="s">
        <v>7</v>
      </c>
      <c r="F4" s="165"/>
      <c r="G4" s="166"/>
      <c r="H4" s="2">
        <f>COUNT($B$22:$B$52)</f>
        <v>31</v>
      </c>
      <c r="I4" s="164" t="s">
        <v>8</v>
      </c>
      <c r="J4" s="165"/>
      <c r="K4" s="166"/>
      <c r="L4" s="3" t="s">
        <v>129</v>
      </c>
      <c r="M4" s="164" t="s">
        <v>10</v>
      </c>
      <c r="N4" s="165"/>
      <c r="O4" s="165"/>
      <c r="P4" s="166"/>
      <c r="Q4" s="4"/>
    </row>
    <row r="5" spans="1:17" x14ac:dyDescent="0.2">
      <c r="A5" s="164" t="s">
        <v>11</v>
      </c>
      <c r="B5" s="165"/>
      <c r="C5" s="166"/>
      <c r="D5" s="5">
        <v>1.1850000000000001</v>
      </c>
      <c r="E5" s="164" t="s">
        <v>12</v>
      </c>
      <c r="F5" s="165"/>
      <c r="G5" s="166"/>
      <c r="H5" s="6">
        <f>IF($H$4=0,"",AVERAGE($B$22:$B$52))</f>
        <v>0.67154838709677422</v>
      </c>
      <c r="I5" s="164" t="s">
        <v>13</v>
      </c>
      <c r="J5" s="165"/>
      <c r="K5" s="166"/>
      <c r="L5" s="2">
        <v>51</v>
      </c>
      <c r="M5" s="164" t="s">
        <v>14</v>
      </c>
      <c r="N5" s="165"/>
      <c r="O5" s="165"/>
      <c r="P5" s="166"/>
      <c r="Q5" s="7"/>
    </row>
    <row r="6" spans="1:17" x14ac:dyDescent="0.2">
      <c r="A6" s="164" t="s">
        <v>15</v>
      </c>
      <c r="B6" s="165"/>
      <c r="C6" s="166"/>
      <c r="D6" s="8">
        <v>0.56859999999999999</v>
      </c>
      <c r="E6" s="164" t="s">
        <v>16</v>
      </c>
      <c r="F6" s="165"/>
      <c r="G6" s="166"/>
      <c r="H6" s="6" t="str">
        <f>IF(OR($H$4=0,$H$4&gt;=31),"",($D$9*31-SUM($B$22:$B$52))/(31-$H$4))</f>
        <v/>
      </c>
      <c r="I6" s="164" t="s">
        <v>17</v>
      </c>
      <c r="J6" s="165"/>
      <c r="K6" s="166"/>
      <c r="L6" s="6">
        <v>0.66300000000000003</v>
      </c>
      <c r="M6" s="164" t="s">
        <v>18</v>
      </c>
      <c r="N6" s="165"/>
      <c r="O6" s="165"/>
      <c r="P6" s="166"/>
      <c r="Q6" s="9"/>
    </row>
    <row r="7" spans="1:17" x14ac:dyDescent="0.2">
      <c r="A7" s="164" t="s">
        <v>19</v>
      </c>
      <c r="B7" s="165"/>
      <c r="C7" s="166"/>
      <c r="D7" s="8">
        <v>0.8891</v>
      </c>
      <c r="E7" s="164" t="s">
        <v>20</v>
      </c>
      <c r="F7" s="165"/>
      <c r="G7" s="166"/>
      <c r="H7" s="10">
        <v>0.55930000000000002</v>
      </c>
      <c r="I7" s="164" t="s">
        <v>21</v>
      </c>
      <c r="J7" s="165"/>
      <c r="K7" s="166"/>
      <c r="L7" s="6">
        <v>0.67</v>
      </c>
      <c r="M7" s="164" t="s">
        <v>22</v>
      </c>
      <c r="N7" s="165"/>
      <c r="O7" s="165"/>
      <c r="P7" s="166"/>
      <c r="Q7" s="11" t="str">
        <f>IF($Q$5="","",$Q$5*$Q$6/100)</f>
        <v/>
      </c>
    </row>
    <row r="8" spans="1:17" x14ac:dyDescent="0.2">
      <c r="A8" s="164" t="s">
        <v>23</v>
      </c>
      <c r="B8" s="165"/>
      <c r="C8" s="166"/>
      <c r="D8" s="8">
        <v>3.5999999999999997E-2</v>
      </c>
      <c r="E8" s="164" t="s">
        <v>24</v>
      </c>
      <c r="F8" s="165"/>
      <c r="G8" s="166"/>
      <c r="H8" s="6">
        <f>(SUM($B$22:$B$52)+(31-$H$4)*$H$7)/31</f>
        <v>0.67154838709677422</v>
      </c>
      <c r="I8" s="164" t="s">
        <v>25</v>
      </c>
      <c r="J8" s="165"/>
      <c r="K8" s="166"/>
      <c r="L8" s="6">
        <v>0.67769999999999997</v>
      </c>
      <c r="M8" s="164" t="s">
        <v>26</v>
      </c>
      <c r="N8" s="165"/>
      <c r="O8" s="165"/>
      <c r="P8" s="166"/>
      <c r="Q8" s="12"/>
    </row>
    <row r="9" spans="1:17" x14ac:dyDescent="0.2">
      <c r="A9" s="164" t="s">
        <v>27</v>
      </c>
      <c r="B9" s="165"/>
      <c r="C9" s="166"/>
      <c r="D9" s="13">
        <f>($D$5-$D$6)/$D$7</f>
        <v>0.69328534473062653</v>
      </c>
      <c r="E9" s="164" t="s">
        <v>28</v>
      </c>
      <c r="F9" s="165"/>
      <c r="G9" s="166"/>
      <c r="H9" s="5">
        <f>$D$6+$D$7*$H$8</f>
        <v>1.165673670967742</v>
      </c>
      <c r="I9" s="164" t="s">
        <v>29</v>
      </c>
      <c r="J9" s="165"/>
      <c r="K9" s="166"/>
      <c r="L9" s="3" t="s">
        <v>130</v>
      </c>
      <c r="M9" s="164" t="s">
        <v>30</v>
      </c>
      <c r="N9" s="165"/>
      <c r="O9" s="165"/>
      <c r="P9" s="166"/>
      <c r="Q9" s="4"/>
    </row>
    <row r="10" spans="1:17" x14ac:dyDescent="0.2">
      <c r="A10" s="164" t="s">
        <v>31</v>
      </c>
      <c r="B10" s="165"/>
      <c r="C10" s="166"/>
      <c r="D10" s="8">
        <f>IFERROR(INDEX($F$57:$F$88,MATCH($H$4,$E$57:$E$88,0)),$D$8)</f>
        <v>0</v>
      </c>
      <c r="E10" s="164" t="s">
        <v>32</v>
      </c>
      <c r="F10" s="165"/>
      <c r="G10" s="166"/>
      <c r="H10" s="14">
        <f>1-NORMDIST($D$5,$H$9,$D$11,TRUE)</f>
        <v>0.29568821525418343</v>
      </c>
      <c r="I10" s="164" t="s">
        <v>33</v>
      </c>
      <c r="J10" s="165"/>
      <c r="K10" s="166"/>
      <c r="L10" s="15">
        <v>0.28299999999999997</v>
      </c>
      <c r="M10" s="164" t="s">
        <v>34</v>
      </c>
      <c r="N10" s="165"/>
      <c r="O10" s="165"/>
      <c r="P10" s="166"/>
      <c r="Q10" s="11" t="str">
        <f>IF(OR($Q$9="",$Q$4=""),"",IF(UPPER($Q$9)=UPPER($Q$4),$Q$5,0))</f>
        <v/>
      </c>
    </row>
    <row r="11" spans="1:17" x14ac:dyDescent="0.2">
      <c r="A11" s="164" t="s">
        <v>35</v>
      </c>
      <c r="B11" s="165"/>
      <c r="C11" s="166"/>
      <c r="D11" s="8">
        <f>SQRT(($D$7*$D$10)^2+$D$8^2)</f>
        <v>3.5999999999999997E-2</v>
      </c>
      <c r="E11" s="164" t="s">
        <v>36</v>
      </c>
      <c r="F11" s="165"/>
      <c r="G11" s="166"/>
      <c r="H11" s="15"/>
      <c r="I11" s="164" t="s">
        <v>37</v>
      </c>
      <c r="J11" s="165"/>
      <c r="K11" s="166"/>
      <c r="L11" s="6">
        <f>IFERROR(LOOKUP(9.99E+307,$E$18:$E$52),"")</f>
        <v>1.3799999999999998E-2</v>
      </c>
      <c r="M11" s="167" t="s">
        <v>38</v>
      </c>
      <c r="N11" s="165"/>
      <c r="O11" s="165"/>
      <c r="P11" s="166"/>
      <c r="Q11" s="11" t="str">
        <f>IF($Q$10="","",$Q$10-$Q$7-IF($Q$8="",0,$Q$8))</f>
        <v/>
      </c>
    </row>
    <row r="12" spans="1:17" x14ac:dyDescent="0.2">
      <c r="A12" s="164" t="s">
        <v>39</v>
      </c>
      <c r="B12" s="165"/>
      <c r="C12" s="166"/>
      <c r="D12" s="3" t="str">
        <f>IF(AND(ABS(SLOPE($C$57:$C$92,$B$57:$B$92)-$D$7)&lt;0.0005,ABS(INTERCEPT($C$57:$C$92,$B$57:$B$92)-$D$6)&lt;0.0005,ABS(STEYX($C$57:$C$92,$B$57:$B$92)-$D$8)&lt;0.0005),"OK","DRIFT")</f>
        <v>OK</v>
      </c>
      <c r="E12" s="167" t="s">
        <v>40</v>
      </c>
      <c r="F12" s="165"/>
      <c r="G12" s="166"/>
      <c r="H12" s="14">
        <f>IF($H$11="",$H$10,$H$11)</f>
        <v>0.29568821525418343</v>
      </c>
      <c r="I12" s="164" t="s">
        <v>41</v>
      </c>
      <c r="J12" s="165"/>
      <c r="K12" s="166"/>
      <c r="L12" s="3" t="str">
        <f>IF($L$11="","",IF($L$11&gt;0.05,"WARM · YES↑",IF($L$11&lt;-0.05,"COLD · YES↓","quiet")))</f>
        <v>quiet</v>
      </c>
      <c r="M12" s="167" t="s">
        <v>42</v>
      </c>
      <c r="N12" s="165"/>
      <c r="O12" s="165"/>
      <c r="P12" s="166"/>
      <c r="Q12" s="14" t="str">
        <f>IF(OR($Q$11="",$Q$7=""),"",$Q$11/$Q$7)</f>
        <v/>
      </c>
    </row>
    <row r="13" spans="1:17" x14ac:dyDescent="0.2">
      <c r="A13" s="164" t="s">
        <v>43</v>
      </c>
      <c r="B13" s="165"/>
      <c r="C13" s="166"/>
      <c r="D13" s="1">
        <v>1.2</v>
      </c>
      <c r="E13" s="167" t="s">
        <v>44</v>
      </c>
      <c r="F13" s="165"/>
      <c r="G13" s="166"/>
      <c r="H13" s="16">
        <f>100*(1-$H$12)</f>
        <v>70.431178474581657</v>
      </c>
      <c r="I13" s="164" t="s">
        <v>45</v>
      </c>
      <c r="J13" s="165"/>
      <c r="K13" s="166"/>
      <c r="L13" s="17">
        <v>2.24E-2</v>
      </c>
      <c r="M13" s="164" t="s">
        <v>46</v>
      </c>
      <c r="N13" s="165"/>
      <c r="O13" s="165"/>
      <c r="P13" s="166"/>
      <c r="Q13" s="18">
        <v>300</v>
      </c>
    </row>
    <row r="14" spans="1:17" x14ac:dyDescent="0.2">
      <c r="A14" s="164" t="s">
        <v>47</v>
      </c>
      <c r="B14" s="165"/>
      <c r="C14" s="166"/>
      <c r="D14" s="5">
        <v>1.2050000000000001</v>
      </c>
      <c r="E14" s="167" t="s">
        <v>48</v>
      </c>
      <c r="F14" s="165"/>
      <c r="G14" s="166"/>
      <c r="H14" s="16">
        <f>IF(COUNT($L$18:$L$52)=0,"",LOOKUP(9.99E+307,$L$18:$L$52)-100*$H$12)</f>
        <v>-8.5688215254183433</v>
      </c>
      <c r="I14" s="164" t="s">
        <v>49</v>
      </c>
      <c r="J14" s="165"/>
      <c r="K14" s="166"/>
      <c r="L14" s="19" t="s">
        <v>237</v>
      </c>
      <c r="M14" s="164" t="s">
        <v>51</v>
      </c>
      <c r="N14" s="165"/>
      <c r="O14" s="165"/>
      <c r="P14" s="166"/>
      <c r="Q14" s="12"/>
    </row>
    <row r="15" spans="1:17" x14ac:dyDescent="0.2">
      <c r="A15" s="164" t="s">
        <v>52</v>
      </c>
      <c r="B15" s="165"/>
      <c r="C15" s="166"/>
      <c r="D15" s="9">
        <v>1</v>
      </c>
      <c r="E15" s="167" t="s">
        <v>53</v>
      </c>
      <c r="F15" s="165"/>
      <c r="G15" s="166"/>
      <c r="H15" s="3" t="str">
        <f>IF($H$14="","",IF($H$14&gt;=3,"NO CHEAP",IF($H$14&lt;=-3,"NO RICH","FAIR")))</f>
        <v>NO RICH</v>
      </c>
      <c r="I15" s="164" t="s">
        <v>54</v>
      </c>
      <c r="J15" s="165"/>
      <c r="K15" s="166"/>
      <c r="L15" s="5">
        <f>IF(UPPER($L$14)="Y",$H$9+$L$13,$H$9)</f>
        <v>1.188073670967742</v>
      </c>
      <c r="M15" s="164" t="s">
        <v>55</v>
      </c>
      <c r="N15" s="165"/>
      <c r="O15" s="165"/>
      <c r="P15" s="166"/>
      <c r="Q15" s="14" t="str">
        <f>IF($Q$7="","",$Q$7/$Q$13)</f>
        <v/>
      </c>
    </row>
    <row r="17" spans="1:19" x14ac:dyDescent="0.2">
      <c r="A17" s="62" t="s">
        <v>56</v>
      </c>
      <c r="B17" s="64" t="s">
        <v>57</v>
      </c>
      <c r="C17" s="65" t="s">
        <v>58</v>
      </c>
      <c r="D17" s="20" t="s">
        <v>59</v>
      </c>
      <c r="E17" s="20" t="s">
        <v>60</v>
      </c>
      <c r="F17" s="20" t="s">
        <v>12</v>
      </c>
      <c r="G17" s="20" t="s">
        <v>61</v>
      </c>
      <c r="H17" s="20" t="s">
        <v>62</v>
      </c>
      <c r="I17" s="20" t="s">
        <v>131</v>
      </c>
      <c r="J17" s="20" t="s">
        <v>64</v>
      </c>
      <c r="K17" s="20" t="s">
        <v>132</v>
      </c>
      <c r="L17" s="20" t="s">
        <v>133</v>
      </c>
      <c r="M17" s="20" t="s">
        <v>134</v>
      </c>
      <c r="N17" s="20" t="s">
        <v>67</v>
      </c>
      <c r="O17" s="20" t="s">
        <v>68</v>
      </c>
      <c r="P17" s="20" t="s">
        <v>69</v>
      </c>
      <c r="Q17" s="20" t="s">
        <v>70</v>
      </c>
      <c r="R17" s="84" t="s">
        <v>71</v>
      </c>
      <c r="S17" s="84" t="s">
        <v>72</v>
      </c>
    </row>
    <row r="18" spans="1:19" x14ac:dyDescent="0.2">
      <c r="A18" s="21" t="s">
        <v>103</v>
      </c>
      <c r="B18" s="61">
        <v>0.60899999999999999</v>
      </c>
      <c r="C18" s="22"/>
      <c r="D18" s="23" t="str">
        <f t="shared" ref="D18:D52" si="0">IF(OR($B18="",$C18=""),"",$B18-$C18)</f>
        <v/>
      </c>
      <c r="E18" s="23" t="str">
        <f>IF(COUNT($D17:$D18)&lt;3,"",AVERAGE($D17:$D18))</f>
        <v/>
      </c>
      <c r="F18" s="23"/>
      <c r="G18" s="23">
        <v>0.624</v>
      </c>
      <c r="H18" s="23">
        <v>0.56000000000000005</v>
      </c>
      <c r="I18" s="23"/>
      <c r="J18" s="24"/>
      <c r="K18" s="25" t="str">
        <f t="shared" ref="K18:K52" si="1">IF($J18="","",100*(1-$J18))</f>
        <v/>
      </c>
      <c r="L18" s="26"/>
      <c r="M18" s="25" t="str">
        <f t="shared" ref="M18:M52" si="2">IF(OR($J18="",$L18=""),"",$L18-100*$J18)</f>
        <v/>
      </c>
      <c r="N18" s="27"/>
      <c r="O18" s="27"/>
      <c r="P18" s="28" t="str">
        <f t="shared" ref="P18:P52" si="3">IF($E18="","",IF($E18&gt;0.05,"WARM dev3 — spike risk UP",IF($E18&lt;-0.05,"COLD dev3 — spike risk DOWN","")))</f>
        <v/>
      </c>
      <c r="Q18" s="29"/>
      <c r="R18" s="102"/>
      <c r="S18" s="98" t="str">
        <f t="shared" ref="S18:S52" si="4">IF($J18="","",$J18*100)</f>
        <v/>
      </c>
    </row>
    <row r="19" spans="1:19" x14ac:dyDescent="0.2">
      <c r="A19" s="21" t="s">
        <v>104</v>
      </c>
      <c r="B19" s="22">
        <v>0.65300000000000002</v>
      </c>
      <c r="C19" s="22"/>
      <c r="D19" s="23" t="str">
        <f t="shared" si="0"/>
        <v/>
      </c>
      <c r="E19" s="23" t="str">
        <f t="shared" ref="E19:E52" si="5">IF(COUNT($D17:$D19)&lt;3,"",AVERAGE($D17:$D19))</f>
        <v/>
      </c>
      <c r="F19" s="23"/>
      <c r="G19" s="23">
        <v>0.61599999999999999</v>
      </c>
      <c r="H19" s="23">
        <v>0.51</v>
      </c>
      <c r="I19" s="23"/>
      <c r="J19" s="24"/>
      <c r="K19" s="25" t="str">
        <f t="shared" si="1"/>
        <v/>
      </c>
      <c r="L19" s="26">
        <v>7</v>
      </c>
      <c r="M19" s="25" t="str">
        <f t="shared" si="2"/>
        <v/>
      </c>
      <c r="N19" s="27">
        <v>719.14</v>
      </c>
      <c r="O19" s="27">
        <v>698.12</v>
      </c>
      <c r="P19" s="28" t="str">
        <f t="shared" si="3"/>
        <v/>
      </c>
      <c r="Q19" s="29"/>
      <c r="R19" s="102"/>
      <c r="S19" s="98" t="str">
        <f t="shared" si="4"/>
        <v/>
      </c>
    </row>
    <row r="20" spans="1:19" x14ac:dyDescent="0.2">
      <c r="A20" s="21" t="s">
        <v>105</v>
      </c>
      <c r="B20" s="22">
        <v>0.64</v>
      </c>
      <c r="C20" s="22"/>
      <c r="D20" s="23" t="str">
        <f t="shared" si="0"/>
        <v/>
      </c>
      <c r="E20" s="23" t="str">
        <f t="shared" si="5"/>
        <v/>
      </c>
      <c r="F20" s="23"/>
      <c r="G20" s="23">
        <v>0.61399999999999999</v>
      </c>
      <c r="H20" s="23">
        <v>0.49099999999999999</v>
      </c>
      <c r="I20" s="23"/>
      <c r="J20" s="24"/>
      <c r="K20" s="25" t="str">
        <f t="shared" si="1"/>
        <v/>
      </c>
      <c r="L20" s="26">
        <v>25</v>
      </c>
      <c r="M20" s="25" t="str">
        <f t="shared" si="2"/>
        <v/>
      </c>
      <c r="N20" s="27">
        <v>275.38</v>
      </c>
      <c r="O20" s="27">
        <v>973.5</v>
      </c>
      <c r="P20" s="28" t="str">
        <f t="shared" si="3"/>
        <v/>
      </c>
      <c r="Q20" s="29"/>
      <c r="R20" s="102"/>
      <c r="S20" s="98" t="str">
        <f t="shared" si="4"/>
        <v/>
      </c>
    </row>
    <row r="21" spans="1:19" x14ac:dyDescent="0.2">
      <c r="A21" s="21" t="s">
        <v>106</v>
      </c>
      <c r="B21" s="22">
        <v>0.63500000000000001</v>
      </c>
      <c r="C21" s="22"/>
      <c r="D21" s="23" t="str">
        <f t="shared" si="0"/>
        <v/>
      </c>
      <c r="E21" s="23" t="str">
        <f t="shared" si="5"/>
        <v/>
      </c>
      <c r="F21" s="23"/>
      <c r="G21" s="23">
        <v>0.59299999999999997</v>
      </c>
      <c r="H21" s="23">
        <v>0.41299999999999998</v>
      </c>
      <c r="I21" s="23"/>
      <c r="J21" s="24"/>
      <c r="K21" s="25" t="str">
        <f t="shared" si="1"/>
        <v/>
      </c>
      <c r="L21" s="26">
        <v>24</v>
      </c>
      <c r="M21" s="25" t="str">
        <f t="shared" si="2"/>
        <v/>
      </c>
      <c r="N21" s="27">
        <v>380.03</v>
      </c>
      <c r="O21" s="27">
        <v>1103.53</v>
      </c>
      <c r="P21" s="28" t="str">
        <f t="shared" si="3"/>
        <v/>
      </c>
      <c r="Q21" s="29"/>
      <c r="R21" s="102"/>
      <c r="S21" s="98" t="str">
        <f t="shared" si="4"/>
        <v/>
      </c>
    </row>
    <row r="22" spans="1:19" x14ac:dyDescent="0.2">
      <c r="A22" s="30" t="s">
        <v>135</v>
      </c>
      <c r="B22" s="31">
        <v>0.61699999999999999</v>
      </c>
      <c r="C22" s="31"/>
      <c r="D22" s="32" t="str">
        <f t="shared" si="0"/>
        <v/>
      </c>
      <c r="E22" s="32" t="str">
        <f t="shared" si="5"/>
        <v/>
      </c>
      <c r="F22" s="32">
        <f>IF($B22="","",AVERAGE($B$22:$B22))</f>
        <v>0.61699999999999999</v>
      </c>
      <c r="G22" s="32">
        <v>0.58199999999999996</v>
      </c>
      <c r="H22" s="32">
        <v>0.39900000000000002</v>
      </c>
      <c r="I22" s="32">
        <f>IF(OR($B22="",1&gt;=31),"",($D$9*31-SUM($B$22:$B22))/(31-1))</f>
        <v>0.69582818955498071</v>
      </c>
      <c r="J22" s="33">
        <f>IF($B22="","",1-NORMDIST($D$5,$D$6+$D$7*((SUM($B$22:$B22)+(31-1)*$H$7)/31),$D$11,TRUE))</f>
        <v>5.5100871196034351E-4</v>
      </c>
      <c r="K22" s="34">
        <f t="shared" si="1"/>
        <v>99.944899128803968</v>
      </c>
      <c r="L22" s="35">
        <v>14</v>
      </c>
      <c r="M22" s="34">
        <f t="shared" si="2"/>
        <v>13.944899128803966</v>
      </c>
      <c r="N22" s="36">
        <v>61.64</v>
      </c>
      <c r="O22" s="36">
        <v>1143.3699999999999</v>
      </c>
      <c r="P22" s="37" t="str">
        <f t="shared" si="3"/>
        <v/>
      </c>
      <c r="Q22" s="38"/>
      <c r="R22" s="96">
        <f t="shared" ref="R22:R52" si="6">$D$9</f>
        <v>0.69328534473062653</v>
      </c>
      <c r="S22" s="98">
        <f t="shared" si="4"/>
        <v>5.5100871196034351E-2</v>
      </c>
    </row>
    <row r="23" spans="1:19" x14ac:dyDescent="0.2">
      <c r="A23" s="30" t="s">
        <v>136</v>
      </c>
      <c r="B23" s="31">
        <v>0.623</v>
      </c>
      <c r="C23" s="31"/>
      <c r="D23" s="32" t="str">
        <f t="shared" si="0"/>
        <v/>
      </c>
      <c r="E23" s="32" t="str">
        <f t="shared" si="5"/>
        <v/>
      </c>
      <c r="F23" s="32">
        <f>IF($B23="","",AVERAGE($B$22:$B23))</f>
        <v>0.62</v>
      </c>
      <c r="G23" s="32">
        <v>0.56200000000000006</v>
      </c>
      <c r="H23" s="32">
        <v>0.45200000000000001</v>
      </c>
      <c r="I23" s="32">
        <f>IF(OR($B23="",2&gt;=31),"",($D$9*31-SUM($B$22:$B23))/(31-2))</f>
        <v>0.69833950643618703</v>
      </c>
      <c r="J23" s="33">
        <f>IF($B23="","",1-NORMDIST($D$5,$D$6+$D$7*((SUM($B$22:$B23)+(31-2)*$H$7)/31),$D$11,TRUE))</f>
        <v>6.5827322919020936E-4</v>
      </c>
      <c r="K23" s="34">
        <f t="shared" si="1"/>
        <v>99.93417267708098</v>
      </c>
      <c r="L23" s="35">
        <v>18</v>
      </c>
      <c r="M23" s="34">
        <f t="shared" si="2"/>
        <v>17.93417267708098</v>
      </c>
      <c r="N23" s="36">
        <v>211.67</v>
      </c>
      <c r="O23" s="36">
        <v>1343.4</v>
      </c>
      <c r="P23" s="37" t="str">
        <f t="shared" si="3"/>
        <v/>
      </c>
      <c r="Q23" s="38"/>
      <c r="R23" s="96">
        <f t="shared" si="6"/>
        <v>0.69328534473062653</v>
      </c>
      <c r="S23" s="98">
        <f t="shared" si="4"/>
        <v>6.5827322919020936E-2</v>
      </c>
    </row>
    <row r="24" spans="1:19" x14ac:dyDescent="0.2">
      <c r="A24" s="30" t="s">
        <v>137</v>
      </c>
      <c r="B24" s="31">
        <v>0.61199999999999999</v>
      </c>
      <c r="C24" s="31"/>
      <c r="D24" s="32" t="str">
        <f t="shared" si="0"/>
        <v/>
      </c>
      <c r="E24" s="32" t="str">
        <f t="shared" si="5"/>
        <v/>
      </c>
      <c r="F24" s="32">
        <f>IF($B24="","",AVERAGE($B$22:$B24))</f>
        <v>0.61733333333333329</v>
      </c>
      <c r="G24" s="32">
        <v>0.56499999999999995</v>
      </c>
      <c r="H24" s="32">
        <v>0.53600000000000003</v>
      </c>
      <c r="I24" s="32">
        <f>IF(OR($B24="",3&gt;=31),"",($D$9*31-SUM($B$22:$B24))/(31-3))</f>
        <v>0.70142306023747936</v>
      </c>
      <c r="J24" s="33">
        <f>IF($B24="","",1-NORMDIST($D$5,$D$6+$D$7*((SUM($B$22:$B24)+(31-3)*$H$7)/31),$D$11,TRUE))</f>
        <v>7.6124291889712037E-4</v>
      </c>
      <c r="K24" s="34">
        <f t="shared" si="1"/>
        <v>99.923875708110288</v>
      </c>
      <c r="L24" s="35">
        <v>18</v>
      </c>
      <c r="M24" s="34">
        <f t="shared" si="2"/>
        <v>17.923875708110288</v>
      </c>
      <c r="N24" s="36">
        <v>390.12</v>
      </c>
      <c r="O24" s="36">
        <v>1733.52</v>
      </c>
      <c r="P24" s="37" t="str">
        <f t="shared" si="3"/>
        <v/>
      </c>
      <c r="Q24" s="38"/>
      <c r="R24" s="96">
        <f t="shared" si="6"/>
        <v>0.69328534473062653</v>
      </c>
      <c r="S24" s="98">
        <f t="shared" si="4"/>
        <v>7.6124291889712037E-2</v>
      </c>
    </row>
    <row r="25" spans="1:19" x14ac:dyDescent="0.2">
      <c r="A25" s="30" t="s">
        <v>138</v>
      </c>
      <c r="B25" s="31">
        <v>0.64400000000000002</v>
      </c>
      <c r="C25" s="31"/>
      <c r="D25" s="32" t="str">
        <f t="shared" si="0"/>
        <v/>
      </c>
      <c r="E25" s="32" t="str">
        <f t="shared" si="5"/>
        <v/>
      </c>
      <c r="F25" s="32">
        <f>IF($B25="","",AVERAGE($B$22:$B25))</f>
        <v>0.624</v>
      </c>
      <c r="G25" s="32">
        <v>0.5655</v>
      </c>
      <c r="H25" s="32">
        <v>0.61580000000000001</v>
      </c>
      <c r="I25" s="32">
        <f>IF(OR($B25="",4&gt;=31),"",($D$9*31-SUM($B$22:$B25))/(31-4))</f>
        <v>0.70354984024627498</v>
      </c>
      <c r="J25" s="33">
        <f>IF($B25="","",1-NORMDIST($D$5,$D$6+$D$7*((SUM($B$22:$B25)+(31-4)*$H$7)/31),$D$11,TRUE))</f>
        <v>9.5822415760249413E-4</v>
      </c>
      <c r="K25" s="34">
        <f t="shared" si="1"/>
        <v>99.904177584239747</v>
      </c>
      <c r="L25" s="35">
        <v>21</v>
      </c>
      <c r="M25" s="34">
        <f t="shared" si="2"/>
        <v>20.904177584239751</v>
      </c>
      <c r="N25" s="36">
        <v>157.91999999999999</v>
      </c>
      <c r="O25" s="36">
        <v>1685.1</v>
      </c>
      <c r="P25" s="37" t="str">
        <f t="shared" si="3"/>
        <v/>
      </c>
      <c r="Q25" s="38"/>
      <c r="R25" s="96">
        <f t="shared" si="6"/>
        <v>0.69328534473062653</v>
      </c>
      <c r="S25" s="98">
        <f t="shared" si="4"/>
        <v>9.5822415760249413E-2</v>
      </c>
    </row>
    <row r="26" spans="1:19" x14ac:dyDescent="0.2">
      <c r="A26" s="30" t="s">
        <v>139</v>
      </c>
      <c r="B26" s="31">
        <v>0.69899999999999995</v>
      </c>
      <c r="C26" s="31"/>
      <c r="D26" s="32" t="str">
        <f t="shared" si="0"/>
        <v/>
      </c>
      <c r="E26" s="32" t="str">
        <f t="shared" si="5"/>
        <v/>
      </c>
      <c r="F26" s="32">
        <f>IF($B26="","",AVERAGE($B$22:$B26))</f>
        <v>0.63900000000000001</v>
      </c>
      <c r="G26" s="32">
        <v>0.56299999999999994</v>
      </c>
      <c r="H26" s="32">
        <v>0.66579999999999995</v>
      </c>
      <c r="I26" s="32">
        <f>IF(OR($B26="",5&gt;=31),"",($D$9*31-SUM($B$22:$B26))/(31-5))</f>
        <v>0.7037248341019009</v>
      </c>
      <c r="J26" s="33">
        <f>IF($B26="","",1-NORMDIST($D$5,$D$6+$D$7*((SUM($B$22:$B26)+(31-5)*$H$7)/31),$D$11,TRUE))</f>
        <v>1.387657113471219E-3</v>
      </c>
      <c r="K26" s="34">
        <f t="shared" si="1"/>
        <v>99.861234288652881</v>
      </c>
      <c r="L26" s="35">
        <v>19</v>
      </c>
      <c r="M26" s="34">
        <f t="shared" si="2"/>
        <v>18.861234288652877</v>
      </c>
      <c r="N26" s="36">
        <v>10</v>
      </c>
      <c r="O26" s="36">
        <v>1695.1</v>
      </c>
      <c r="P26" s="37" t="str">
        <f t="shared" si="3"/>
        <v/>
      </c>
      <c r="Q26" s="38"/>
      <c r="R26" s="96">
        <f t="shared" si="6"/>
        <v>0.69328534473062653</v>
      </c>
      <c r="S26" s="98">
        <f t="shared" si="4"/>
        <v>0.1387657113471219</v>
      </c>
    </row>
    <row r="27" spans="1:19" x14ac:dyDescent="0.2">
      <c r="A27" s="30" t="s">
        <v>140</v>
      </c>
      <c r="B27" s="31">
        <v>0.69699999999999995</v>
      </c>
      <c r="C27" s="31"/>
      <c r="D27" s="32" t="str">
        <f t="shared" si="0"/>
        <v/>
      </c>
      <c r="E27" s="32" t="str">
        <f t="shared" si="5"/>
        <v/>
      </c>
      <c r="F27" s="32">
        <f>IF($B27="","",AVERAGE($B$22:$B27))</f>
        <v>0.64866666666666661</v>
      </c>
      <c r="G27" s="32">
        <v>0.55379999999999996</v>
      </c>
      <c r="H27" s="32">
        <v>0.70230000000000004</v>
      </c>
      <c r="I27" s="32">
        <f>IF(OR($B27="",6&gt;=31),"",($D$9*31-SUM($B$22:$B27))/(31-6))</f>
        <v>0.70399382746597694</v>
      </c>
      <c r="J27" s="33">
        <f>IF($B27="","",1-NORMDIST($D$5,$D$6+$D$7*((SUM($B$22:$B27)+(31-6)*$H$7)/31),$D$11,TRUE))</f>
        <v>1.9765289427640109E-3</v>
      </c>
      <c r="K27" s="34">
        <f t="shared" si="1"/>
        <v>99.802347105723598</v>
      </c>
      <c r="L27" s="35">
        <v>21</v>
      </c>
      <c r="M27" s="34">
        <f t="shared" si="2"/>
        <v>20.802347105723598</v>
      </c>
      <c r="N27" s="36">
        <v>36.79</v>
      </c>
      <c r="O27" s="36">
        <v>1731.89</v>
      </c>
      <c r="P27" s="37" t="str">
        <f t="shared" si="3"/>
        <v/>
      </c>
      <c r="Q27" s="38"/>
      <c r="R27" s="96">
        <f t="shared" si="6"/>
        <v>0.69328534473062653</v>
      </c>
      <c r="S27" s="98">
        <f t="shared" si="4"/>
        <v>0.19765289427640109</v>
      </c>
    </row>
    <row r="28" spans="1:19" x14ac:dyDescent="0.2">
      <c r="A28" s="30" t="s">
        <v>141</v>
      </c>
      <c r="B28" s="31">
        <v>0.68</v>
      </c>
      <c r="C28" s="31"/>
      <c r="D28" s="32" t="str">
        <f t="shared" si="0"/>
        <v/>
      </c>
      <c r="E28" s="32" t="str">
        <f t="shared" si="5"/>
        <v/>
      </c>
      <c r="F28" s="32">
        <f>IF($B28="","",AVERAGE($B$22:$B28))</f>
        <v>0.65314285714285714</v>
      </c>
      <c r="G28" s="32">
        <v>0.5494</v>
      </c>
      <c r="H28" s="32">
        <v>0.72589999999999999</v>
      </c>
      <c r="I28" s="32">
        <f>IF(OR($B28="",7&gt;=31),"",($D$9*31-SUM($B$22:$B28))/(31-7))</f>
        <v>0.70499357027705933</v>
      </c>
      <c r="J28" s="33">
        <f>IF($B28="","",1-NORMDIST($D$5,$D$6+$D$7*((SUM($B$22:$B28)+(31-7)*$H$7)/31),$D$11,TRUE))</f>
        <v>2.6704184846498835E-3</v>
      </c>
      <c r="K28" s="34">
        <f t="shared" si="1"/>
        <v>99.732958151535016</v>
      </c>
      <c r="L28" s="35">
        <v>16</v>
      </c>
      <c r="M28" s="34">
        <f t="shared" si="2"/>
        <v>15.732958151535012</v>
      </c>
      <c r="N28" s="36">
        <v>63.38</v>
      </c>
      <c r="O28" s="36">
        <v>1792.87</v>
      </c>
      <c r="P28" s="37" t="str">
        <f t="shared" si="3"/>
        <v/>
      </c>
      <c r="Q28" s="38"/>
      <c r="R28" s="96">
        <f t="shared" si="6"/>
        <v>0.69328534473062653</v>
      </c>
      <c r="S28" s="98">
        <f t="shared" si="4"/>
        <v>0.26704184846498835</v>
      </c>
    </row>
    <row r="29" spans="1:19" x14ac:dyDescent="0.2">
      <c r="A29" s="30" t="s">
        <v>142</v>
      </c>
      <c r="B29" s="31">
        <v>0.70799999999999996</v>
      </c>
      <c r="C29" s="31"/>
      <c r="D29" s="32" t="str">
        <f t="shared" si="0"/>
        <v/>
      </c>
      <c r="E29" s="32" t="str">
        <f t="shared" si="5"/>
        <v/>
      </c>
      <c r="F29" s="32">
        <f>IF($B29="","",AVERAGE($B$22:$B29))</f>
        <v>0.66</v>
      </c>
      <c r="G29" s="32">
        <v>0.55349999999999999</v>
      </c>
      <c r="H29" s="32">
        <v>0.74</v>
      </c>
      <c r="I29" s="32">
        <f>IF(OR($B29="",8&gt;=31),"",($D$9*31-SUM($B$22:$B29))/(31-8))</f>
        <v>0.70486285594127918</v>
      </c>
      <c r="J29" s="33">
        <f>IF($B29="","",1-NORMDIST($D$5,$D$6+$D$7*((SUM($B$22:$B29)+(31-8)*$H$7)/31),$D$11,TRUE))</f>
        <v>3.8236615090313508E-3</v>
      </c>
      <c r="K29" s="34">
        <f t="shared" si="1"/>
        <v>99.617633849096862</v>
      </c>
      <c r="L29" s="35">
        <v>16</v>
      </c>
      <c r="M29" s="34">
        <f t="shared" si="2"/>
        <v>15.617633849096865</v>
      </c>
      <c r="N29" s="36">
        <v>152.32</v>
      </c>
      <c r="O29" s="36">
        <v>1933.42</v>
      </c>
      <c r="P29" s="37" t="str">
        <f t="shared" si="3"/>
        <v/>
      </c>
      <c r="Q29" s="38"/>
      <c r="R29" s="96">
        <f t="shared" si="6"/>
        <v>0.69328534473062653</v>
      </c>
      <c r="S29" s="98">
        <f t="shared" si="4"/>
        <v>0.38236615090313508</v>
      </c>
    </row>
    <row r="30" spans="1:19" x14ac:dyDescent="0.2">
      <c r="A30" s="30" t="s">
        <v>143</v>
      </c>
      <c r="B30" s="31">
        <v>0.68799999999999994</v>
      </c>
      <c r="C30" s="31"/>
      <c r="D30" s="32" t="str">
        <f t="shared" si="0"/>
        <v/>
      </c>
      <c r="E30" s="32" t="str">
        <f t="shared" si="5"/>
        <v/>
      </c>
      <c r="F30" s="32">
        <f>IF($B30="","",AVERAGE($B$22:$B30))</f>
        <v>0.6631111111111111</v>
      </c>
      <c r="G30" s="32">
        <v>0.56200000000000006</v>
      </c>
      <c r="H30" s="32">
        <v>0.74960000000000004</v>
      </c>
      <c r="I30" s="32">
        <f>IF(OR($B30="",9&gt;=31),"",($D$9*31-SUM($B$22:$B30))/(31-9))</f>
        <v>0.70562934939315558</v>
      </c>
      <c r="J30" s="33">
        <f>IF($B30="","",1-NORMDIST($D$5,$D$6+$D$7*((SUM($B$22:$B30)+(31-9)*$H$7)/31),$D$11,TRUE))</f>
        <v>5.1629038286410411E-3</v>
      </c>
      <c r="K30" s="34">
        <f t="shared" si="1"/>
        <v>99.483709617135901</v>
      </c>
      <c r="L30" s="35">
        <v>22</v>
      </c>
      <c r="M30" s="34">
        <f t="shared" si="2"/>
        <v>21.483709617135897</v>
      </c>
      <c r="N30" s="36">
        <v>353.79</v>
      </c>
      <c r="O30" s="36">
        <v>2287.21</v>
      </c>
      <c r="P30" s="37" t="str">
        <f t="shared" si="3"/>
        <v/>
      </c>
      <c r="Q30" s="38"/>
      <c r="R30" s="96">
        <f t="shared" si="6"/>
        <v>0.69328534473062653</v>
      </c>
      <c r="S30" s="98">
        <f t="shared" si="4"/>
        <v>0.51629038286410411</v>
      </c>
    </row>
    <row r="31" spans="1:19" x14ac:dyDescent="0.2">
      <c r="A31" s="30" t="s">
        <v>144</v>
      </c>
      <c r="B31" s="31">
        <v>0.60499999999999998</v>
      </c>
      <c r="C31" s="31">
        <v>0.60840000000000005</v>
      </c>
      <c r="D31" s="32">
        <f t="shared" si="0"/>
        <v>-3.4000000000000696E-3</v>
      </c>
      <c r="E31" s="32" t="str">
        <f t="shared" si="5"/>
        <v/>
      </c>
      <c r="F31" s="32">
        <f>IF($B31="","",AVERAGE($B$22:$B31))</f>
        <v>0.6573</v>
      </c>
      <c r="G31" s="32">
        <v>0.57330000000000003</v>
      </c>
      <c r="H31" s="32">
        <v>0.75680000000000003</v>
      </c>
      <c r="I31" s="32">
        <f>IF(OR($B31="",10&gt;=31),"",($D$9*31-SUM($B$22:$B31))/(31-10))</f>
        <v>0.71042122317378209</v>
      </c>
      <c r="J31" s="33">
        <f>IF($B31="","",1-NORMDIST($D$5,$D$6+$D$7*((SUM($B$22:$B31)+(31-10)*$H$7)/31),$D$11,TRUE))</f>
        <v>5.7305745557238996E-3</v>
      </c>
      <c r="K31" s="34">
        <f t="shared" si="1"/>
        <v>99.426942544427604</v>
      </c>
      <c r="L31" s="35">
        <v>24</v>
      </c>
      <c r="M31" s="34">
        <f t="shared" si="2"/>
        <v>23.426942544427611</v>
      </c>
      <c r="N31" s="36">
        <v>189.42</v>
      </c>
      <c r="O31" s="36">
        <v>2218.04</v>
      </c>
      <c r="P31" s="37" t="str">
        <f t="shared" si="3"/>
        <v/>
      </c>
      <c r="Q31" s="38"/>
      <c r="R31" s="96">
        <f t="shared" si="6"/>
        <v>0.69328534473062653</v>
      </c>
      <c r="S31" s="98">
        <f t="shared" si="4"/>
        <v>0.57305745557238996</v>
      </c>
    </row>
    <row r="32" spans="1:19" x14ac:dyDescent="0.2">
      <c r="A32" s="30" t="s">
        <v>145</v>
      </c>
      <c r="B32" s="31">
        <v>0.56599999999999995</v>
      </c>
      <c r="C32" s="31">
        <v>0.54269999999999996</v>
      </c>
      <c r="D32" s="32">
        <f t="shared" si="0"/>
        <v>2.3299999999999987E-2</v>
      </c>
      <c r="E32" s="32" t="str">
        <f t="shared" si="5"/>
        <v/>
      </c>
      <c r="F32" s="32">
        <f>IF($B32="","",AVERAGE($B$22:$B32))</f>
        <v>0.64900000000000002</v>
      </c>
      <c r="G32" s="32">
        <v>0.58160000000000001</v>
      </c>
      <c r="H32" s="32">
        <v>0.75770000000000004</v>
      </c>
      <c r="I32" s="32">
        <f>IF(OR($B32="",11&gt;=31),"",($D$9*31-SUM($B$22:$B32))/(31-11))</f>
        <v>0.71764228433247124</v>
      </c>
      <c r="J32" s="33">
        <f>IF($B32="","",1-NORMDIST($D$5,$D$6+$D$7*((SUM($B$22:$B32)+(31-11)*$H$7)/31),$D$11,TRUE))</f>
        <v>5.8182980941454687E-3</v>
      </c>
      <c r="K32" s="34">
        <f t="shared" si="1"/>
        <v>99.418170190585457</v>
      </c>
      <c r="L32" s="35">
        <v>24</v>
      </c>
      <c r="M32" s="34">
        <f t="shared" si="2"/>
        <v>23.418170190585453</v>
      </c>
      <c r="N32" s="36">
        <v>203.1</v>
      </c>
      <c r="O32" s="36">
        <v>2385.14</v>
      </c>
      <c r="P32" s="37" t="str">
        <f t="shared" si="3"/>
        <v/>
      </c>
      <c r="Q32" s="38"/>
      <c r="R32" s="96">
        <f t="shared" si="6"/>
        <v>0.69328534473062653</v>
      </c>
      <c r="S32" s="98">
        <f t="shared" si="4"/>
        <v>0.58182980941454687</v>
      </c>
    </row>
    <row r="33" spans="1:19" x14ac:dyDescent="0.2">
      <c r="A33" s="30" t="s">
        <v>146</v>
      </c>
      <c r="B33" s="31">
        <v>0.52</v>
      </c>
      <c r="C33" s="31">
        <v>0.47339999999999999</v>
      </c>
      <c r="D33" s="32">
        <f t="shared" si="0"/>
        <v>4.660000000000003E-2</v>
      </c>
      <c r="E33" s="32">
        <f t="shared" si="5"/>
        <v>2.2166666666666651E-2</v>
      </c>
      <c r="F33" s="32">
        <f>IF($B33="","",AVERAGE($B$22:$B33))</f>
        <v>0.6382500000000001</v>
      </c>
      <c r="G33" s="32">
        <v>0.58220000000000005</v>
      </c>
      <c r="H33" s="32">
        <v>0.75419999999999998</v>
      </c>
      <c r="I33" s="32">
        <f>IF(OR($B33="",12&gt;=31),"",($D$9*31-SUM($B$22:$B33))/(31-12))</f>
        <v>0.72804450982365376</v>
      </c>
      <c r="J33" s="33">
        <f>IF($B33="","",1-NORMDIST($D$5,$D$6+$D$7*((SUM($B$22:$B33)+(31-12)*$H$7)/31),$D$11,TRUE))</f>
        <v>5.3202777223886333E-3</v>
      </c>
      <c r="K33" s="34">
        <f t="shared" si="1"/>
        <v>99.467972227761138</v>
      </c>
      <c r="L33" s="35">
        <v>21</v>
      </c>
      <c r="M33" s="34">
        <f t="shared" si="2"/>
        <v>20.467972227761138</v>
      </c>
      <c r="N33" s="36">
        <v>665.35</v>
      </c>
      <c r="O33" s="36">
        <v>2873.89</v>
      </c>
      <c r="P33" s="37" t="str">
        <f t="shared" si="3"/>
        <v/>
      </c>
      <c r="Q33" s="38"/>
      <c r="R33" s="96">
        <f t="shared" si="6"/>
        <v>0.69328534473062653</v>
      </c>
      <c r="S33" s="98">
        <f t="shared" si="4"/>
        <v>0.53202777223886333</v>
      </c>
    </row>
    <row r="34" spans="1:19" x14ac:dyDescent="0.2">
      <c r="A34" s="30" t="s">
        <v>147</v>
      </c>
      <c r="B34" s="31">
        <v>0.52800000000000002</v>
      </c>
      <c r="C34" s="31">
        <v>0.40760000000000002</v>
      </c>
      <c r="D34" s="32">
        <f t="shared" si="0"/>
        <v>0.12040000000000001</v>
      </c>
      <c r="E34" s="32">
        <f t="shared" si="5"/>
        <v>6.3433333333333342E-2</v>
      </c>
      <c r="F34" s="32">
        <f>IF($B34="","",AVERAGE($B$22:$B34))</f>
        <v>0.62976923076923086</v>
      </c>
      <c r="G34" s="32">
        <v>0.58020000000000005</v>
      </c>
      <c r="H34" s="32">
        <v>0.74529999999999996</v>
      </c>
      <c r="I34" s="32">
        <f>IF(OR($B34="",13&gt;=31),"",($D$9*31-SUM($B$22:$B34))/(31-13))</f>
        <v>0.73915809370274566</v>
      </c>
      <c r="J34" s="33">
        <f>IF($B34="","",1-NORMDIST($D$5,$D$6+$D$7*((SUM($B$22:$B34)+(31-13)*$H$7)/31),$D$11,TRUE))</f>
        <v>4.9511407931149831E-3</v>
      </c>
      <c r="K34" s="34">
        <f t="shared" si="1"/>
        <v>99.504885920688508</v>
      </c>
      <c r="L34" s="35">
        <v>20</v>
      </c>
      <c r="M34" s="34">
        <f t="shared" si="2"/>
        <v>19.504885920688501</v>
      </c>
      <c r="N34" s="36">
        <v>706.35</v>
      </c>
      <c r="O34" s="36">
        <v>3374.77</v>
      </c>
      <c r="P34" s="37" t="str">
        <f t="shared" si="3"/>
        <v>WARM dev3 — spike risk UP</v>
      </c>
      <c r="Q34" s="38"/>
      <c r="R34" s="96">
        <f t="shared" si="6"/>
        <v>0.69328534473062653</v>
      </c>
      <c r="S34" s="98">
        <f t="shared" si="4"/>
        <v>0.49511407931149831</v>
      </c>
    </row>
    <row r="35" spans="1:19" x14ac:dyDescent="0.2">
      <c r="A35" s="30" t="s">
        <v>148</v>
      </c>
      <c r="B35" s="31">
        <v>0.56000000000000005</v>
      </c>
      <c r="C35" s="31">
        <v>0.41339999999999999</v>
      </c>
      <c r="D35" s="32">
        <f t="shared" si="0"/>
        <v>0.14660000000000006</v>
      </c>
      <c r="E35" s="32">
        <f t="shared" si="5"/>
        <v>0.10453333333333337</v>
      </c>
      <c r="F35" s="32">
        <f>IF($B35="","",AVERAGE($B$22:$B35))</f>
        <v>0.62478571428571439</v>
      </c>
      <c r="G35" s="32">
        <v>0.57640000000000002</v>
      </c>
      <c r="H35" s="32">
        <v>0.73540000000000005</v>
      </c>
      <c r="I35" s="32">
        <f>IF(OR($B35="",14&gt;=31),"",($D$9*31-SUM($B$22:$B35))/(31-14))</f>
        <v>0.74969680509702474</v>
      </c>
      <c r="J35" s="33">
        <f>IF($B35="","",1-NORMDIST($D$5,$D$6+$D$7*((SUM($B$22:$B35)+(31-14)*$H$7)/31),$D$11,TRUE))</f>
        <v>4.9591402107501681E-3</v>
      </c>
      <c r="K35" s="34">
        <f t="shared" si="1"/>
        <v>99.504085978924977</v>
      </c>
      <c r="L35" s="35">
        <v>27</v>
      </c>
      <c r="M35" s="34">
        <f t="shared" si="2"/>
        <v>26.504085978924984</v>
      </c>
      <c r="N35" s="36">
        <v>6366.54</v>
      </c>
      <c r="O35" s="36">
        <v>6124.14</v>
      </c>
      <c r="P35" s="37" t="str">
        <f t="shared" si="3"/>
        <v>WARM dev3 — spike risk UP</v>
      </c>
      <c r="Q35" s="38"/>
      <c r="R35" s="96">
        <f t="shared" si="6"/>
        <v>0.69328534473062653</v>
      </c>
      <c r="S35" s="98">
        <f t="shared" si="4"/>
        <v>0.49591402107501681</v>
      </c>
    </row>
    <row r="36" spans="1:19" x14ac:dyDescent="0.2">
      <c r="A36" s="30" t="s">
        <v>149</v>
      </c>
      <c r="B36" s="31">
        <v>0.56299999999999994</v>
      </c>
      <c r="C36" s="31">
        <v>0.37819999999999998</v>
      </c>
      <c r="D36" s="32">
        <f t="shared" si="0"/>
        <v>0.18479999999999996</v>
      </c>
      <c r="E36" s="32">
        <f t="shared" si="5"/>
        <v>0.15060000000000001</v>
      </c>
      <c r="F36" s="32">
        <f>IF($B36="","",AVERAGE($B$22:$B36))</f>
        <v>0.62066666666666681</v>
      </c>
      <c r="G36" s="32">
        <v>0.57330000000000003</v>
      </c>
      <c r="H36" s="32">
        <v>0.72909999999999997</v>
      </c>
      <c r="I36" s="32">
        <f>IF(OR($B36="",15&gt;=31),"",($D$9*31-SUM($B$22:$B36))/(31-15))</f>
        <v>0.76136535541558881</v>
      </c>
      <c r="J36" s="33">
        <f>IF($B36="","",1-NORMDIST($D$5,$D$6+$D$7*((SUM($B$22:$B36)+(31-15)*$H$7)/31),$D$11,TRUE))</f>
        <v>5.0016144208998581E-3</v>
      </c>
      <c r="K36" s="34">
        <f t="shared" si="1"/>
        <v>99.49983855791001</v>
      </c>
      <c r="L36" s="35">
        <v>23</v>
      </c>
      <c r="M36" s="34">
        <f t="shared" si="2"/>
        <v>22.499838557910014</v>
      </c>
      <c r="N36" s="36">
        <v>2531.98</v>
      </c>
      <c r="O36" s="36">
        <v>8036.88</v>
      </c>
      <c r="P36" s="37" t="str">
        <f t="shared" si="3"/>
        <v>WARM dev3 — spike risk UP</v>
      </c>
      <c r="Q36" s="38"/>
      <c r="R36" s="96">
        <f t="shared" si="6"/>
        <v>0.69328534473062653</v>
      </c>
      <c r="S36" s="98">
        <f t="shared" si="4"/>
        <v>0.50016144208998581</v>
      </c>
    </row>
    <row r="37" spans="1:19" x14ac:dyDescent="0.2">
      <c r="A37" s="30" t="s">
        <v>150</v>
      </c>
      <c r="B37" s="31">
        <v>0.57199999999999995</v>
      </c>
      <c r="C37" s="31">
        <v>0.4481</v>
      </c>
      <c r="D37" s="32">
        <f t="shared" si="0"/>
        <v>0.12389999999999995</v>
      </c>
      <c r="E37" s="32">
        <f t="shared" si="5"/>
        <v>0.15176666666666666</v>
      </c>
      <c r="F37" s="32">
        <f>IF($B37="","",AVERAGE($B$22:$B37))</f>
        <v>0.61762500000000009</v>
      </c>
      <c r="G37" s="32">
        <v>0.57379999999999998</v>
      </c>
      <c r="H37" s="32">
        <v>0.72609999999999997</v>
      </c>
      <c r="I37" s="32">
        <f>IF(OR($B37="",16&gt;=31),"",($D$9*31-SUM($B$22:$B37))/(31-16))</f>
        <v>0.77398971244329473</v>
      </c>
      <c r="J37" s="33">
        <f>IF($B37="","",1-NORMDIST($D$5,$D$6+$D$7*((SUM($B$22:$B37)+(31-16)*$H$7)/31),$D$11,TRUE))</f>
        <v>5.1498797003359797E-3</v>
      </c>
      <c r="K37" s="34">
        <f t="shared" si="1"/>
        <v>99.485012029966398</v>
      </c>
      <c r="L37" s="35">
        <v>22</v>
      </c>
      <c r="M37" s="34">
        <f t="shared" si="2"/>
        <v>21.485012029966402</v>
      </c>
      <c r="N37" s="36">
        <v>3079.38</v>
      </c>
      <c r="O37" s="36">
        <v>9738.6200000000008</v>
      </c>
      <c r="P37" s="37" t="str">
        <f t="shared" si="3"/>
        <v>WARM dev3 — spike risk UP</v>
      </c>
      <c r="Q37" s="38"/>
      <c r="R37" s="96">
        <f t="shared" si="6"/>
        <v>0.69328534473062653</v>
      </c>
      <c r="S37" s="98">
        <f t="shared" si="4"/>
        <v>0.51498797003359797</v>
      </c>
    </row>
    <row r="38" spans="1:19" x14ac:dyDescent="0.2">
      <c r="A38" s="30" t="s">
        <v>151</v>
      </c>
      <c r="B38" s="31">
        <v>0.56799999999999995</v>
      </c>
      <c r="C38" s="31">
        <v>0.37540000000000001</v>
      </c>
      <c r="D38" s="32">
        <f t="shared" si="0"/>
        <v>0.19259999999999994</v>
      </c>
      <c r="E38" s="32">
        <f t="shared" si="5"/>
        <v>0.16709999999999994</v>
      </c>
      <c r="F38" s="32">
        <f>IF($B38="","",AVERAGE($B$22:$B38))</f>
        <v>0.61470588235294121</v>
      </c>
      <c r="G38" s="32">
        <v>0.57940000000000003</v>
      </c>
      <c r="H38" s="32">
        <v>0.72619999999999996</v>
      </c>
      <c r="I38" s="32">
        <f>IF(OR($B38="",17&gt;=31),"",($D$9*31-SUM($B$22:$B38))/(31-17))</f>
        <v>0.78870326333210161</v>
      </c>
      <c r="J38" s="33">
        <f>IF($B38="","",1-NORMDIST($D$5,$D$6+$D$7*((SUM($B$22:$B38)+(31-17)*$H$7)/31),$D$11,TRUE))</f>
        <v>5.2536924360314652E-3</v>
      </c>
      <c r="K38" s="34">
        <f t="shared" si="1"/>
        <v>99.474630756396849</v>
      </c>
      <c r="L38" s="35">
        <v>26</v>
      </c>
      <c r="M38" s="34">
        <f t="shared" si="2"/>
        <v>25.474630756396852</v>
      </c>
      <c r="N38" s="36">
        <v>1906.16</v>
      </c>
      <c r="O38" s="36">
        <v>10075.43</v>
      </c>
      <c r="P38" s="37" t="str">
        <f t="shared" si="3"/>
        <v>WARM dev3 — spike risk UP</v>
      </c>
      <c r="Q38" s="38"/>
      <c r="R38" s="96">
        <f t="shared" si="6"/>
        <v>0.69328534473062653</v>
      </c>
      <c r="S38" s="98">
        <f t="shared" si="4"/>
        <v>0.52536924360314652</v>
      </c>
    </row>
    <row r="39" spans="1:19" x14ac:dyDescent="0.2">
      <c r="A39" s="30" t="s">
        <v>152</v>
      </c>
      <c r="B39" s="31">
        <v>0.59899999999999998</v>
      </c>
      <c r="C39" s="31">
        <v>0.37559999999999999</v>
      </c>
      <c r="D39" s="32">
        <f t="shared" si="0"/>
        <v>0.22339999999999999</v>
      </c>
      <c r="E39" s="32">
        <f t="shared" si="5"/>
        <v>0.17996666666666661</v>
      </c>
      <c r="F39" s="32">
        <f>IF($B39="","",AVERAGE($B$22:$B39))</f>
        <v>0.61383333333333345</v>
      </c>
      <c r="G39" s="32">
        <v>0.58989999999999998</v>
      </c>
      <c r="H39" s="32">
        <v>0.72819999999999996</v>
      </c>
      <c r="I39" s="32">
        <f>IF(OR($B39="",18&gt;=31),"",($D$9*31-SUM($B$22:$B39))/(31-18))</f>
        <v>0.80329582204995553</v>
      </c>
      <c r="J39" s="33">
        <f>IF($B39="","",1-NORMDIST($D$5,$D$6+$D$7*((SUM($B$22:$B39)+(31-18)*$H$7)/31),$D$11,TRUE))</f>
        <v>5.7514160791144464E-3</v>
      </c>
      <c r="K39" s="34">
        <f t="shared" si="1"/>
        <v>99.424858392088552</v>
      </c>
      <c r="L39" s="35">
        <v>32</v>
      </c>
      <c r="M39" s="34">
        <f t="shared" si="2"/>
        <v>31.424858392088556</v>
      </c>
      <c r="N39" s="36">
        <v>5549.78</v>
      </c>
      <c r="O39" s="36">
        <v>12761.16</v>
      </c>
      <c r="P39" s="37" t="str">
        <f t="shared" si="3"/>
        <v>WARM dev3 — spike risk UP</v>
      </c>
      <c r="Q39" s="38"/>
      <c r="R39" s="96">
        <f t="shared" si="6"/>
        <v>0.69328534473062653</v>
      </c>
      <c r="S39" s="98">
        <f t="shared" si="4"/>
        <v>0.57514160791144464</v>
      </c>
    </row>
    <row r="40" spans="1:19" x14ac:dyDescent="0.2">
      <c r="A40" s="30" t="s">
        <v>153</v>
      </c>
      <c r="B40" s="31">
        <v>0.67100000000000004</v>
      </c>
      <c r="C40" s="31">
        <v>0.48010000000000003</v>
      </c>
      <c r="D40" s="32">
        <f t="shared" si="0"/>
        <v>0.19090000000000001</v>
      </c>
      <c r="E40" s="32">
        <f t="shared" si="5"/>
        <v>0.20230000000000001</v>
      </c>
      <c r="F40" s="32">
        <f>IF($B40="","",AVERAGE($B$22:$B40))</f>
        <v>0.61684210526315797</v>
      </c>
      <c r="G40" s="32">
        <v>0.60119999999999996</v>
      </c>
      <c r="H40" s="32">
        <v>0.72970000000000002</v>
      </c>
      <c r="I40" s="32">
        <f>IF(OR($B40="",19&gt;=31),"",($D$9*31-SUM($B$22:$B40))/(31-19))</f>
        <v>0.81432047388745188</v>
      </c>
      <c r="J40" s="33">
        <f>IF($B40="","",1-NORMDIST($D$5,$D$6+$D$7*((SUM($B$22:$B40)+(31-19)*$H$7)/31),$D$11,TRUE))</f>
        <v>7.3833539644212465E-3</v>
      </c>
      <c r="K40" s="34">
        <f t="shared" si="1"/>
        <v>99.261664603557875</v>
      </c>
      <c r="L40" s="35">
        <v>27</v>
      </c>
      <c r="M40" s="34">
        <f t="shared" si="2"/>
        <v>26.261664603557875</v>
      </c>
      <c r="N40" s="36">
        <v>4634.8</v>
      </c>
      <c r="O40" s="36">
        <v>15516.5</v>
      </c>
      <c r="P40" s="37" t="str">
        <f t="shared" si="3"/>
        <v>WARM dev3 — spike risk UP</v>
      </c>
      <c r="Q40" s="38"/>
      <c r="R40" s="96">
        <f t="shared" si="6"/>
        <v>0.69328534473062653</v>
      </c>
      <c r="S40" s="98">
        <f t="shared" si="4"/>
        <v>0.73833539644212465</v>
      </c>
    </row>
    <row r="41" spans="1:19" x14ac:dyDescent="0.2">
      <c r="A41" s="30" t="s">
        <v>154</v>
      </c>
      <c r="B41" s="31">
        <v>0.76500000000000001</v>
      </c>
      <c r="C41" s="31">
        <v>0.61680000000000001</v>
      </c>
      <c r="D41" s="32">
        <f t="shared" si="0"/>
        <v>0.1482</v>
      </c>
      <c r="E41" s="32">
        <f t="shared" si="5"/>
        <v>0.1875</v>
      </c>
      <c r="F41" s="32">
        <f>IF($B41="","",AVERAGE($B$22:$B41))</f>
        <v>0.62425000000000008</v>
      </c>
      <c r="G41" s="32">
        <v>0.61040000000000005</v>
      </c>
      <c r="H41" s="32">
        <v>0.73060000000000003</v>
      </c>
      <c r="I41" s="32">
        <f>IF(OR($B41="",20&gt;=31),"",($D$9*31-SUM($B$22:$B41))/(31-20))</f>
        <v>0.81880415333176559</v>
      </c>
      <c r="J41" s="33">
        <f>IF($B41="","",1-NORMDIST($D$5,$D$6+$D$7*((SUM($B$22:$B41)+(31-20)*$H$7)/31),$D$11,TRUE))</f>
        <v>1.147780688097555E-2</v>
      </c>
      <c r="K41" s="34">
        <f t="shared" si="1"/>
        <v>98.852219311902445</v>
      </c>
      <c r="L41" s="35">
        <v>21</v>
      </c>
      <c r="M41" s="34">
        <f t="shared" si="2"/>
        <v>19.852219311902445</v>
      </c>
      <c r="N41" s="36">
        <v>3722.17</v>
      </c>
      <c r="O41" s="36">
        <v>15924.51</v>
      </c>
      <c r="P41" s="37" t="str">
        <f t="shared" si="3"/>
        <v>WARM dev3 — spike risk UP</v>
      </c>
      <c r="Q41" s="38"/>
      <c r="R41" s="96">
        <f t="shared" si="6"/>
        <v>0.69328534473062653</v>
      </c>
      <c r="S41" s="98">
        <f t="shared" si="4"/>
        <v>1.147780688097555</v>
      </c>
    </row>
    <row r="42" spans="1:19" x14ac:dyDescent="0.2">
      <c r="A42" s="30" t="s">
        <v>155</v>
      </c>
      <c r="B42" s="31">
        <v>0.79400000000000004</v>
      </c>
      <c r="C42" s="31">
        <v>0.65129999999999999</v>
      </c>
      <c r="D42" s="32">
        <f t="shared" si="0"/>
        <v>0.14270000000000005</v>
      </c>
      <c r="E42" s="32">
        <f t="shared" si="5"/>
        <v>0.16060000000000002</v>
      </c>
      <c r="F42" s="32">
        <f>IF($B42="","",AVERAGE($B$22:$B42))</f>
        <v>0.63233333333333341</v>
      </c>
      <c r="G42" s="32">
        <v>0.62160000000000004</v>
      </c>
      <c r="H42" s="32">
        <v>0.73089999999999999</v>
      </c>
      <c r="I42" s="32">
        <f>IF(OR($B42="",21&gt;=31),"",($D$9*31-SUM($B$22:$B42))/(31-21))</f>
        <v>0.82128456866494215</v>
      </c>
      <c r="J42" s="33">
        <f>IF($B42="","",1-NORMDIST($D$5,$D$6+$D$7*((SUM($B$22:$B42)+(31-21)*$H$7)/31),$D$11,TRUE))</f>
        <v>1.8435450765378336E-2</v>
      </c>
      <c r="K42" s="34">
        <f t="shared" si="1"/>
        <v>98.156454923462164</v>
      </c>
      <c r="L42" s="35">
        <v>20</v>
      </c>
      <c r="M42" s="34">
        <f t="shared" si="2"/>
        <v>18.156454923462167</v>
      </c>
      <c r="N42" s="36">
        <v>5832.04</v>
      </c>
      <c r="O42" s="36">
        <v>16275.84</v>
      </c>
      <c r="P42" s="37" t="str">
        <f t="shared" si="3"/>
        <v>WARM dev3 — spike risk UP</v>
      </c>
      <c r="Q42" s="38"/>
      <c r="R42" s="96">
        <f t="shared" si="6"/>
        <v>0.69328534473062653</v>
      </c>
      <c r="S42" s="98">
        <f t="shared" si="4"/>
        <v>1.8435450765378336</v>
      </c>
    </row>
    <row r="43" spans="1:19" x14ac:dyDescent="0.2">
      <c r="A43" s="30" t="s">
        <v>156</v>
      </c>
      <c r="B43" s="31">
        <v>0.78300000000000003</v>
      </c>
      <c r="C43" s="31">
        <v>0.75600000000000001</v>
      </c>
      <c r="D43" s="32">
        <f t="shared" si="0"/>
        <v>2.7000000000000024E-2</v>
      </c>
      <c r="E43" s="32">
        <f t="shared" si="5"/>
        <v>0.1059666666666667</v>
      </c>
      <c r="F43" s="32">
        <f>IF($B43="","",AVERAGE($B$22:$B43))</f>
        <v>0.63918181818181818</v>
      </c>
      <c r="G43" s="32">
        <v>0.63449999999999995</v>
      </c>
      <c r="H43" s="32">
        <v>0.73089999999999999</v>
      </c>
      <c r="I43" s="32">
        <f>IF(OR($B43="",22&gt;=31),"",($D$9*31-SUM($B$22:$B43))/(31-22))</f>
        <v>0.82553840962771352</v>
      </c>
      <c r="J43" s="33">
        <f>IF($B43="","",1-NORMDIST($D$5,$D$6+$D$7*((SUM($B$22:$B43)+(31-22)*$H$7)/31),$D$11,TRUE))</f>
        <v>2.8132830053186453E-2</v>
      </c>
      <c r="K43" s="34">
        <f t="shared" si="1"/>
        <v>97.186716994681348</v>
      </c>
      <c r="L43" s="35">
        <v>21</v>
      </c>
      <c r="M43" s="34">
        <f t="shared" si="2"/>
        <v>18.186716994681355</v>
      </c>
      <c r="N43" s="36">
        <v>1205.3499999999999</v>
      </c>
      <c r="O43" s="36">
        <v>17033.13</v>
      </c>
      <c r="P43" s="37" t="str">
        <f t="shared" si="3"/>
        <v>WARM dev3 — spike risk UP</v>
      </c>
      <c r="Q43" s="38"/>
      <c r="R43" s="96">
        <f t="shared" si="6"/>
        <v>0.69328534473062653</v>
      </c>
      <c r="S43" s="98">
        <f t="shared" si="4"/>
        <v>2.8132830053186453</v>
      </c>
    </row>
    <row r="44" spans="1:19" x14ac:dyDescent="0.2">
      <c r="A44" s="30" t="s">
        <v>157</v>
      </c>
      <c r="B44" s="31">
        <v>0.76900000000000002</v>
      </c>
      <c r="C44" s="31">
        <v>0.74060000000000004</v>
      </c>
      <c r="D44" s="32">
        <f t="shared" si="0"/>
        <v>2.8399999999999981E-2</v>
      </c>
      <c r="E44" s="32">
        <f t="shared" si="5"/>
        <v>6.6033333333333347E-2</v>
      </c>
      <c r="F44" s="32">
        <f>IF($B44="","",AVERAGE($B$22:$B44))</f>
        <v>0.64482608695652177</v>
      </c>
      <c r="G44" s="32">
        <v>0.64600000000000002</v>
      </c>
      <c r="H44" s="32">
        <v>0.73029999999999995</v>
      </c>
      <c r="I44" s="32">
        <f>IF(OR($B44="",23&gt;=31),"",($D$9*31-SUM($B$22:$B44))/(31-23))</f>
        <v>0.83260571083117774</v>
      </c>
      <c r="J44" s="33">
        <f>IF($B44="","",1-NORMDIST($D$5,$D$6+$D$7*((SUM($B$22:$B44)+(31-23)*$H$7)/31),$D$11,TRUE))</f>
        <v>4.0762308633664035E-2</v>
      </c>
      <c r="K44" s="34">
        <f t="shared" si="1"/>
        <v>95.923769136633595</v>
      </c>
      <c r="L44" s="35">
        <v>33</v>
      </c>
      <c r="M44" s="34">
        <f t="shared" si="2"/>
        <v>28.923769136633595</v>
      </c>
      <c r="N44" s="36">
        <v>6859.2</v>
      </c>
      <c r="O44" s="36">
        <v>20074.41</v>
      </c>
      <c r="P44" s="37" t="str">
        <f t="shared" si="3"/>
        <v>WARM dev3 — spike risk UP</v>
      </c>
      <c r="Q44" s="38"/>
      <c r="R44" s="96">
        <f t="shared" si="6"/>
        <v>0.69328534473062653</v>
      </c>
      <c r="S44" s="98">
        <f t="shared" si="4"/>
        <v>4.0762308633664031</v>
      </c>
    </row>
    <row r="45" spans="1:19" x14ac:dyDescent="0.2">
      <c r="A45" s="30" t="s">
        <v>158</v>
      </c>
      <c r="B45" s="31">
        <v>0.79</v>
      </c>
      <c r="C45" s="31">
        <v>0.76029999999999998</v>
      </c>
      <c r="D45" s="32">
        <f t="shared" si="0"/>
        <v>2.970000000000006E-2</v>
      </c>
      <c r="E45" s="32">
        <f t="shared" si="5"/>
        <v>2.8366666666666689E-2</v>
      </c>
      <c r="F45" s="32">
        <f>IF($B45="","",AVERAGE($B$22:$B45))</f>
        <v>0.65087500000000009</v>
      </c>
      <c r="G45" s="32">
        <v>0.65429999999999999</v>
      </c>
      <c r="H45" s="32">
        <v>0.72950000000000004</v>
      </c>
      <c r="I45" s="32">
        <f>IF(OR($B45="",24&gt;=31),"",($D$9*31-SUM($B$22:$B45))/(31-24))</f>
        <v>0.83869224094991723</v>
      </c>
      <c r="J45" s="33">
        <f>IF($B45="","",1-NORMDIST($D$5,$D$6+$D$7*((SUM($B$22:$B45)+(31-24)*$H$7)/31),$D$11,TRUE))</f>
        <v>5.9603297394256072E-2</v>
      </c>
      <c r="K45" s="34">
        <f t="shared" si="1"/>
        <v>94.039670260574397</v>
      </c>
      <c r="L45" s="35">
        <v>21</v>
      </c>
      <c r="M45" s="34">
        <f t="shared" si="2"/>
        <v>15.039670260574393</v>
      </c>
      <c r="N45" s="36">
        <v>3973.15</v>
      </c>
      <c r="O45" s="36">
        <v>21367.83</v>
      </c>
      <c r="P45" s="37" t="str">
        <f t="shared" si="3"/>
        <v/>
      </c>
      <c r="Q45" s="38"/>
      <c r="R45" s="96">
        <f t="shared" si="6"/>
        <v>0.69328534473062653</v>
      </c>
      <c r="S45" s="98">
        <f t="shared" si="4"/>
        <v>5.9603297394256067</v>
      </c>
    </row>
    <row r="46" spans="1:19" x14ac:dyDescent="0.2">
      <c r="A46" s="30" t="s">
        <v>159</v>
      </c>
      <c r="B46" s="31">
        <v>0.79100000000000004</v>
      </c>
      <c r="C46" s="31">
        <v>0.65369999999999995</v>
      </c>
      <c r="D46" s="32">
        <f t="shared" si="0"/>
        <v>0.13730000000000009</v>
      </c>
      <c r="E46" s="32">
        <f t="shared" si="5"/>
        <v>6.5133333333333376E-2</v>
      </c>
      <c r="F46" s="32">
        <f>IF($B46="","",AVERAGE($B$22:$B46))</f>
        <v>0.65648000000000006</v>
      </c>
      <c r="G46" s="32">
        <v>0.66049999999999998</v>
      </c>
      <c r="H46" s="32">
        <v>0.72929999999999995</v>
      </c>
      <c r="I46" s="32">
        <f>IF(OR($B46="",25&gt;=31),"",($D$9*31-SUM($B$22:$B46))/(31-25))</f>
        <v>0.8466409477749034</v>
      </c>
      <c r="J46" s="33">
        <f>IF($B46="","",1-NORMDIST($D$5,$D$6+$D$7*((SUM($B$22:$B46)+(31-25)*$H$7)/31),$D$11,TRUE))</f>
        <v>8.4795276583898738E-2</v>
      </c>
      <c r="K46" s="34">
        <f t="shared" si="1"/>
        <v>91.52047234161013</v>
      </c>
      <c r="L46" s="35">
        <v>23</v>
      </c>
      <c r="M46" s="34">
        <f t="shared" si="2"/>
        <v>14.520472341610127</v>
      </c>
      <c r="N46" s="36">
        <v>1750.14</v>
      </c>
      <c r="O46" s="36">
        <v>22118.14</v>
      </c>
      <c r="P46" s="37" t="str">
        <f t="shared" si="3"/>
        <v>WARM dev3 — spike risk UP</v>
      </c>
      <c r="Q46" s="38"/>
      <c r="R46" s="96">
        <f t="shared" si="6"/>
        <v>0.69328534473062653</v>
      </c>
      <c r="S46" s="98">
        <f t="shared" si="4"/>
        <v>8.4795276583898733</v>
      </c>
    </row>
    <row r="47" spans="1:19" x14ac:dyDescent="0.2">
      <c r="A47" s="30" t="s">
        <v>160</v>
      </c>
      <c r="B47" s="31">
        <v>0.78800000000000003</v>
      </c>
      <c r="C47" s="31">
        <v>0.6462</v>
      </c>
      <c r="D47" s="32">
        <f t="shared" si="0"/>
        <v>0.14180000000000004</v>
      </c>
      <c r="E47" s="32">
        <f t="shared" si="5"/>
        <v>0.10293333333333339</v>
      </c>
      <c r="F47" s="32">
        <f>IF($B47="","",AVERAGE($B$22:$B47))</f>
        <v>0.66153846153846163</v>
      </c>
      <c r="G47" s="32">
        <v>0.66590000000000005</v>
      </c>
      <c r="H47" s="32">
        <v>0.73019999999999996</v>
      </c>
      <c r="I47" s="54" t="s">
        <v>161</v>
      </c>
      <c r="J47" s="33">
        <f>IF($B47="","",1-NORMDIST($D$5,$D$6+$D$7*((SUM($B$22:$B47)+(31-26)*$H$7)/31),$D$11,TRUE))</f>
        <v>0.11676421595938202</v>
      </c>
      <c r="K47" s="34">
        <f t="shared" si="1"/>
        <v>88.323578404061792</v>
      </c>
      <c r="L47" s="35">
        <v>22</v>
      </c>
      <c r="M47" s="34">
        <f t="shared" si="2"/>
        <v>10.323578404061799</v>
      </c>
      <c r="N47" s="36">
        <v>1228.22</v>
      </c>
      <c r="O47" s="36">
        <v>22837.27</v>
      </c>
      <c r="P47" s="37" t="str">
        <f t="shared" si="3"/>
        <v>WARM dev3 — spike risk UP</v>
      </c>
      <c r="Q47" s="38"/>
      <c r="R47" s="96">
        <f t="shared" si="6"/>
        <v>0.69328534473062653</v>
      </c>
      <c r="S47" s="98">
        <f t="shared" si="4"/>
        <v>11.676421595938201</v>
      </c>
    </row>
    <row r="48" spans="1:19" x14ac:dyDescent="0.2">
      <c r="A48" s="30" t="s">
        <v>162</v>
      </c>
      <c r="B48" s="31">
        <v>0.77300000000000002</v>
      </c>
      <c r="C48" s="31">
        <v>0.65739999999999998</v>
      </c>
      <c r="D48" s="32">
        <f t="shared" si="0"/>
        <v>0.11560000000000004</v>
      </c>
      <c r="E48" s="32">
        <f t="shared" si="5"/>
        <v>0.13156666666666672</v>
      </c>
      <c r="F48" s="32">
        <f>IF($B48="","",AVERAGE($B$22:$B48))</f>
        <v>0.66566666666666674</v>
      </c>
      <c r="G48" s="32">
        <v>0.67169999999999996</v>
      </c>
      <c r="H48" s="32">
        <v>0.73029999999999995</v>
      </c>
      <c r="I48" s="32">
        <f>IF(OR($B48="",27&gt;=31),"",($D$9*31-SUM($B$22:$B48))/(31-27))</f>
        <v>0.87971142166235516</v>
      </c>
      <c r="J48" s="33">
        <f>IF($B48="","",1-NORMDIST($D$5,$D$6+$D$7*((SUM($B$22:$B48)+(31-27)*$H$7)/31),$D$11,TRUE))</f>
        <v>0.1536112616647104</v>
      </c>
      <c r="K48" s="34">
        <f t="shared" si="1"/>
        <v>84.638873833528962</v>
      </c>
      <c r="L48" s="35">
        <v>22</v>
      </c>
      <c r="M48" s="34">
        <f t="shared" si="2"/>
        <v>6.6388738335289599</v>
      </c>
      <c r="N48" s="36">
        <v>2041.19</v>
      </c>
      <c r="O48" s="36">
        <v>24002.95</v>
      </c>
      <c r="P48" s="37" t="str">
        <f t="shared" si="3"/>
        <v>WARM dev3 — spike risk UP</v>
      </c>
      <c r="Q48" s="38"/>
      <c r="R48" s="96">
        <f t="shared" si="6"/>
        <v>0.69328534473062653</v>
      </c>
      <c r="S48" s="98">
        <f t="shared" si="4"/>
        <v>15.36112616647104</v>
      </c>
    </row>
    <row r="49" spans="1:19" x14ac:dyDescent="0.2">
      <c r="A49" s="30" t="s">
        <v>163</v>
      </c>
      <c r="B49" s="31">
        <v>0.748</v>
      </c>
      <c r="C49" s="31">
        <v>0.69330000000000003</v>
      </c>
      <c r="D49" s="32">
        <f t="shared" si="0"/>
        <v>5.4699999999999971E-2</v>
      </c>
      <c r="E49" s="32">
        <f t="shared" si="5"/>
        <v>0.10403333333333335</v>
      </c>
      <c r="F49" s="32">
        <f>IF($B49="","",AVERAGE($B$22:$B49))</f>
        <v>0.66860714285714296</v>
      </c>
      <c r="G49" s="32">
        <v>0.67589999999999995</v>
      </c>
      <c r="H49" s="32">
        <v>0.72950000000000004</v>
      </c>
      <c r="I49" s="32">
        <f>IF(OR($B49="",28&gt;=31),"",($D$9*31-SUM($B$22:$B49))/(31-28))</f>
        <v>0.92361522888313985</v>
      </c>
      <c r="J49" s="33">
        <f>IF($B49="","",1-NORMDIST($D$5,$D$6+$D$7*((SUM($B$22:$B49)+(31-28)*$H$7)/31),$D$11,TRUE))</f>
        <v>0.19194998220746118</v>
      </c>
      <c r="K49" s="34">
        <f t="shared" si="1"/>
        <v>80.805001779253885</v>
      </c>
      <c r="L49" s="35">
        <v>29</v>
      </c>
      <c r="M49" s="34">
        <f t="shared" si="2"/>
        <v>9.8050017792538817</v>
      </c>
      <c r="N49" s="36">
        <v>4459.59</v>
      </c>
      <c r="O49" s="36">
        <v>26476.29</v>
      </c>
      <c r="P49" s="37" t="str">
        <f t="shared" si="3"/>
        <v>WARM dev3 — spike risk UP</v>
      </c>
      <c r="Q49" s="38"/>
      <c r="R49" s="96">
        <f t="shared" si="6"/>
        <v>0.69328534473062653</v>
      </c>
      <c r="S49" s="98">
        <f t="shared" si="4"/>
        <v>19.194998220746118</v>
      </c>
    </row>
    <row r="50" spans="1:19" x14ac:dyDescent="0.2">
      <c r="A50" s="30" t="s">
        <v>164</v>
      </c>
      <c r="B50" s="31">
        <v>0.70799999999999996</v>
      </c>
      <c r="C50" s="31">
        <v>0.71779999999999999</v>
      </c>
      <c r="D50" s="32">
        <f t="shared" si="0"/>
        <v>-9.8000000000000309E-3</v>
      </c>
      <c r="E50" s="32">
        <f t="shared" si="5"/>
        <v>5.3499999999999992E-2</v>
      </c>
      <c r="F50" s="32">
        <f>IF($B50="","",AVERAGE($B$22:$B50))</f>
        <v>0.66996551724137943</v>
      </c>
      <c r="G50" s="32">
        <v>0.6784</v>
      </c>
      <c r="H50" s="32">
        <v>0.72799999999999998</v>
      </c>
      <c r="I50" s="32">
        <f>IF(OR($B50="",29&gt;=31),"",($D$9*31-SUM($B$22:$B50))/(31-29))</f>
        <v>1.0314228433247106</v>
      </c>
      <c r="J50" s="33">
        <f>IF($B50="","",1-NORMDIST($D$5,$D$6+$D$7*((SUM($B$22:$B50)+(31-29)*$H$7)/31),$D$11,TRUE))</f>
        <v>0.22594555937074356</v>
      </c>
      <c r="K50" s="34">
        <f t="shared" si="1"/>
        <v>77.405444062925639</v>
      </c>
      <c r="L50" s="35">
        <v>31</v>
      </c>
      <c r="M50" s="34">
        <f t="shared" si="2"/>
        <v>8.4054440629256426</v>
      </c>
      <c r="N50" s="36">
        <v>4911.03</v>
      </c>
      <c r="O50" s="36">
        <v>27327.72</v>
      </c>
      <c r="P50" s="37" t="str">
        <f t="shared" si="3"/>
        <v>WARM dev3 — spike risk UP</v>
      </c>
      <c r="Q50" s="38"/>
      <c r="R50" s="96">
        <f t="shared" si="6"/>
        <v>0.69328534473062653</v>
      </c>
      <c r="S50" s="98">
        <f t="shared" si="4"/>
        <v>22.594555937074357</v>
      </c>
    </row>
    <row r="51" spans="1:19" x14ac:dyDescent="0.2">
      <c r="A51" s="30" t="s">
        <v>165</v>
      </c>
      <c r="B51" s="31">
        <v>0.68300000000000005</v>
      </c>
      <c r="C51" s="31">
        <v>0.67249999999999999</v>
      </c>
      <c r="D51" s="32">
        <f t="shared" si="0"/>
        <v>1.0500000000000065E-2</v>
      </c>
      <c r="E51" s="32">
        <f t="shared" si="5"/>
        <v>1.8466666666666669E-2</v>
      </c>
      <c r="F51" s="32">
        <f>IF($B51="","",AVERAGE($B$22:$B51))</f>
        <v>0.67040000000000011</v>
      </c>
      <c r="G51" s="32">
        <v>0.67979999999999996</v>
      </c>
      <c r="H51" s="32">
        <v>0.7268</v>
      </c>
      <c r="I51" s="32">
        <f>IF(OR($B51="",30&gt;=31),"",($D$9*31-SUM($B$22:$B51))/(31-30))</f>
        <v>1.3798456866494213</v>
      </c>
      <c r="J51" s="33">
        <f>IF($B51="","",1-NORMDIST($D$5,$D$6+$D$7*((SUM($B$22:$B51)+(31-30)*$H$7)/31),$D$11,TRUE))</f>
        <v>0.25664736363579754</v>
      </c>
      <c r="K51" s="34">
        <f t="shared" si="1"/>
        <v>74.335263636420251</v>
      </c>
      <c r="L51" s="35">
        <v>26</v>
      </c>
      <c r="M51" s="34">
        <f t="shared" si="2"/>
        <v>0.33526363642024393</v>
      </c>
      <c r="N51" s="36">
        <v>6851.49</v>
      </c>
      <c r="O51" s="36">
        <v>31013</v>
      </c>
      <c r="P51" s="37" t="str">
        <f t="shared" si="3"/>
        <v/>
      </c>
      <c r="Q51" s="38"/>
      <c r="R51" s="96">
        <f t="shared" si="6"/>
        <v>0.69328534473062653</v>
      </c>
      <c r="S51" s="98">
        <f t="shared" si="4"/>
        <v>25.664736363579756</v>
      </c>
    </row>
    <row r="52" spans="1:19" x14ac:dyDescent="0.2">
      <c r="A52" s="30" t="s">
        <v>166</v>
      </c>
      <c r="B52" s="31">
        <v>0.70599999999999996</v>
      </c>
      <c r="C52" s="31">
        <v>0.6653</v>
      </c>
      <c r="D52" s="32">
        <f t="shared" si="0"/>
        <v>4.0699999999999958E-2</v>
      </c>
      <c r="E52" s="32">
        <f t="shared" si="5"/>
        <v>1.3799999999999998E-2</v>
      </c>
      <c r="F52" s="32">
        <f>IF($B52="","",AVERAGE($B$22:$B52))</f>
        <v>0.67154838709677422</v>
      </c>
      <c r="G52" s="32">
        <v>0.68110000000000004</v>
      </c>
      <c r="H52" s="32">
        <v>0.72489999999999999</v>
      </c>
      <c r="I52" s="32" t="str">
        <f>IF(OR($B52="",31&gt;=31),"",($D$9*31-SUM($B$22:$B52))/(31-31))</f>
        <v/>
      </c>
      <c r="J52" s="33">
        <f>IF($B52="","",1-NORMDIST($D$5,$D$6+$D$7*((SUM($B$22:$B52)+(31-31)*$H$7)/31),$D$11,TRUE))</f>
        <v>0.29568821525418343</v>
      </c>
      <c r="K52" s="34">
        <f t="shared" si="1"/>
        <v>70.431178474581657</v>
      </c>
      <c r="L52" s="35">
        <v>21</v>
      </c>
      <c r="M52" s="34">
        <f t="shared" si="2"/>
        <v>-8.5688215254183433</v>
      </c>
      <c r="N52" s="36">
        <v>7431.46</v>
      </c>
      <c r="O52" s="36">
        <v>33069</v>
      </c>
      <c r="P52" s="37" t="str">
        <f t="shared" si="3"/>
        <v/>
      </c>
      <c r="Q52" s="38"/>
      <c r="R52" s="96">
        <f t="shared" si="6"/>
        <v>0.69328534473062653</v>
      </c>
      <c r="S52" s="98">
        <f t="shared" si="4"/>
        <v>29.568821525418343</v>
      </c>
    </row>
    <row r="53" spans="1:19" x14ac:dyDescent="0.2">
      <c r="A53" s="57" t="s">
        <v>107</v>
      </c>
      <c r="B53" s="151">
        <f t="shared" ref="B53:H53" si="7">AVERAGE(B22:B52)</f>
        <v>0.67154838709677422</v>
      </c>
      <c r="C53" s="55">
        <f t="shared" si="7"/>
        <v>0.57882272727272721</v>
      </c>
      <c r="D53" s="55">
        <f t="shared" si="7"/>
        <v>9.6177272727272722E-2</v>
      </c>
      <c r="E53" s="55">
        <f t="shared" si="7"/>
        <v>0.10398833333333335</v>
      </c>
      <c r="F53" s="55">
        <f t="shared" si="7"/>
        <v>0.64131304241281017</v>
      </c>
      <c r="G53" s="55">
        <f t="shared" si="7"/>
        <v>0.60476129032258075</v>
      </c>
      <c r="H53" s="55">
        <f t="shared" si="7"/>
        <v>0.70084838709677433</v>
      </c>
      <c r="I53" s="55"/>
      <c r="J53" s="58">
        <f>AVERAGE(J22:J52)</f>
        <v>5.0228479847637786E-2</v>
      </c>
      <c r="K53" s="56">
        <f>AVERAGE(K22:K52)</f>
        <v>94.977152015236186</v>
      </c>
      <c r="L53" s="56">
        <f>AVERAGE(L19:L52)</f>
        <v>22.264705882352942</v>
      </c>
      <c r="M53" s="56">
        <f>AVERAGE(M19:M52)</f>
        <v>17.590055241042673</v>
      </c>
      <c r="N53" s="56">
        <f>AVERAGE(N19:N52)</f>
        <v>2320.8844117647059</v>
      </c>
      <c r="O53" s="56">
        <f>AVERAGE(O19:O52)</f>
        <v>10845.461470588238</v>
      </c>
    </row>
    <row r="55" spans="1:19" x14ac:dyDescent="0.2">
      <c r="A55" s="170" t="s">
        <v>167</v>
      </c>
      <c r="B55" s="169"/>
      <c r="C55" s="169"/>
      <c r="E55" s="39" t="s">
        <v>109</v>
      </c>
      <c r="F55" s="39"/>
      <c r="H55" s="170" t="s">
        <v>110</v>
      </c>
      <c r="I55" s="169"/>
      <c r="J55" s="169"/>
      <c r="K55" s="169"/>
      <c r="L55" s="169"/>
    </row>
    <row r="56" spans="1:19" x14ac:dyDescent="0.2">
      <c r="A56" s="40" t="s">
        <v>111</v>
      </c>
      <c r="B56" s="40" t="s">
        <v>112</v>
      </c>
      <c r="C56" s="40" t="s">
        <v>113</v>
      </c>
      <c r="E56" s="40" t="s">
        <v>114</v>
      </c>
      <c r="F56" s="40" t="s">
        <v>115</v>
      </c>
      <c r="H56" s="40" t="s">
        <v>116</v>
      </c>
      <c r="I56" s="40" t="s">
        <v>117</v>
      </c>
      <c r="J56" s="40" t="s">
        <v>118</v>
      </c>
      <c r="K56" s="40" t="s">
        <v>119</v>
      </c>
      <c r="L56" s="40" t="s">
        <v>120</v>
      </c>
    </row>
    <row r="57" spans="1:19" x14ac:dyDescent="0.2">
      <c r="A57" s="41">
        <v>1990</v>
      </c>
      <c r="B57" s="42">
        <v>-7.6499999999999999E-2</v>
      </c>
      <c r="C57" s="43">
        <v>0.39</v>
      </c>
      <c r="E57" s="49">
        <v>0</v>
      </c>
      <c r="F57" s="50">
        <v>9.0200000000000002E-2</v>
      </c>
      <c r="H57" s="44" t="s">
        <v>121</v>
      </c>
      <c r="I57" s="45">
        <v>0.50960000000000005</v>
      </c>
      <c r="J57" s="46">
        <v>1.1000000000000001</v>
      </c>
      <c r="K57" s="47">
        <v>1.0963000000000001</v>
      </c>
      <c r="L57" s="48">
        <v>3.7000000000000002E-3</v>
      </c>
    </row>
    <row r="58" spans="1:19" x14ac:dyDescent="0.2">
      <c r="A58" s="41">
        <v>1991</v>
      </c>
      <c r="B58" s="42">
        <v>-4.6199999999999998E-2</v>
      </c>
      <c r="C58" s="43">
        <v>0.48</v>
      </c>
      <c r="E58" s="49">
        <v>1</v>
      </c>
      <c r="F58" s="50">
        <v>9.0300000000000005E-2</v>
      </c>
      <c r="H58" s="44" t="s">
        <v>122</v>
      </c>
      <c r="I58" s="45">
        <v>0.53610000000000002</v>
      </c>
      <c r="J58" s="46">
        <v>1.18</v>
      </c>
      <c r="K58" s="47">
        <v>1.1486000000000001</v>
      </c>
      <c r="L58" s="48">
        <v>3.1399999999999997E-2</v>
      </c>
    </row>
    <row r="59" spans="1:19" x14ac:dyDescent="0.2">
      <c r="A59" s="41">
        <v>1992</v>
      </c>
      <c r="B59" s="42">
        <v>-0.46010000000000001</v>
      </c>
      <c r="C59" s="43">
        <v>0.13</v>
      </c>
      <c r="E59" s="49">
        <v>2</v>
      </c>
      <c r="F59" s="50">
        <v>8.9899999999999994E-2</v>
      </c>
      <c r="H59" s="44" t="s">
        <v>123</v>
      </c>
      <c r="I59" s="45">
        <v>0.53400000000000003</v>
      </c>
      <c r="J59" s="46">
        <v>1.23</v>
      </c>
      <c r="K59" s="47">
        <v>1.1708000000000001</v>
      </c>
      <c r="L59" s="48">
        <v>5.9200000000000003E-2</v>
      </c>
    </row>
    <row r="60" spans="1:19" x14ac:dyDescent="0.2">
      <c r="A60" s="41">
        <v>1993</v>
      </c>
      <c r="B60" s="42">
        <v>-0.34889999999999999</v>
      </c>
      <c r="C60" s="43">
        <v>0.23</v>
      </c>
      <c r="E60" s="49">
        <v>3</v>
      </c>
      <c r="F60" s="50">
        <v>8.7900000000000006E-2</v>
      </c>
      <c r="H60" s="44" t="s">
        <v>124</v>
      </c>
      <c r="I60" s="45">
        <v>0.5232</v>
      </c>
      <c r="J60" s="46">
        <v>1.1499999999999999</v>
      </c>
      <c r="K60" s="47">
        <v>1.1160000000000001</v>
      </c>
      <c r="L60" s="48">
        <v>3.4000000000000002E-2</v>
      </c>
    </row>
    <row r="61" spans="1:19" x14ac:dyDescent="0.2">
      <c r="A61" s="41">
        <v>1994</v>
      </c>
      <c r="B61" s="42">
        <v>-0.27360000000000001</v>
      </c>
      <c r="C61" s="43">
        <v>0.31</v>
      </c>
      <c r="E61" s="49">
        <v>4</v>
      </c>
      <c r="F61" s="50">
        <v>8.5099999999999995E-2</v>
      </c>
      <c r="H61" s="44" t="s">
        <v>125</v>
      </c>
      <c r="I61" s="45">
        <v>0.54549999999999998</v>
      </c>
      <c r="J61" s="46">
        <v>1.08</v>
      </c>
      <c r="K61" s="47">
        <v>1.0698000000000001</v>
      </c>
      <c r="L61" s="48">
        <v>1.0200000000000001E-2</v>
      </c>
    </row>
    <row r="62" spans="1:19" x14ac:dyDescent="0.2">
      <c r="A62" s="41">
        <v>1995</v>
      </c>
      <c r="B62" s="42">
        <v>-0.1028</v>
      </c>
      <c r="C62" s="43">
        <v>0.51</v>
      </c>
      <c r="E62" s="49">
        <v>5</v>
      </c>
      <c r="F62" s="50">
        <v>8.1900000000000001E-2</v>
      </c>
      <c r="H62" s="44" t="s">
        <v>126</v>
      </c>
      <c r="I62" s="45">
        <v>0.55930000000000002</v>
      </c>
      <c r="J62" s="46">
        <v>1.0900000000000001</v>
      </c>
      <c r="K62" s="47">
        <v>1.0941000000000001</v>
      </c>
      <c r="L62" s="48">
        <v>-4.1000000000000003E-3</v>
      </c>
    </row>
    <row r="63" spans="1:19" x14ac:dyDescent="0.2">
      <c r="A63" s="41">
        <v>1996</v>
      </c>
      <c r="B63" s="42">
        <v>-0.20530000000000001</v>
      </c>
      <c r="C63" s="43">
        <v>0.38</v>
      </c>
      <c r="E63" s="49">
        <v>6</v>
      </c>
      <c r="F63" s="50">
        <v>7.7600000000000002E-2</v>
      </c>
      <c r="H63" s="51" t="s">
        <v>107</v>
      </c>
      <c r="I63" s="48">
        <f>AVERAGE(I57:I62)</f>
        <v>0.53461666666666663</v>
      </c>
      <c r="J63" s="46">
        <f>AVERAGE(J57:J62)</f>
        <v>1.1383333333333334</v>
      </c>
      <c r="K63" s="47">
        <f>AVERAGE(K57:K62)</f>
        <v>1.1159333333333334</v>
      </c>
      <c r="L63" s="48">
        <f>AVERAGE(L57:L62)</f>
        <v>2.2400000000000003E-2</v>
      </c>
    </row>
    <row r="64" spans="1:19" x14ac:dyDescent="0.2">
      <c r="A64" s="41">
        <v>1997</v>
      </c>
      <c r="B64" s="42">
        <v>-0.17100000000000001</v>
      </c>
      <c r="C64" s="43">
        <v>0.41</v>
      </c>
      <c r="E64" s="49">
        <v>7</v>
      </c>
      <c r="F64" s="50">
        <v>7.2599999999999998E-2</v>
      </c>
    </row>
    <row r="65" spans="1:6" x14ac:dyDescent="0.2">
      <c r="A65" s="41">
        <v>1998</v>
      </c>
      <c r="B65" s="42">
        <v>0.12280000000000001</v>
      </c>
      <c r="C65" s="43">
        <v>0.68</v>
      </c>
      <c r="E65" s="49">
        <v>8</v>
      </c>
      <c r="F65" s="50">
        <v>6.8199999999999997E-2</v>
      </c>
    </row>
    <row r="66" spans="1:6" x14ac:dyDescent="0.2">
      <c r="A66" s="41">
        <v>1999</v>
      </c>
      <c r="B66" s="42">
        <v>-0.20100000000000001</v>
      </c>
      <c r="C66" s="43">
        <v>0.38</v>
      </c>
      <c r="E66" s="49">
        <v>9</v>
      </c>
      <c r="F66" s="50">
        <v>6.4899999999999999E-2</v>
      </c>
    </row>
    <row r="67" spans="1:6" x14ac:dyDescent="0.2">
      <c r="A67" s="41">
        <v>2000</v>
      </c>
      <c r="B67" s="42">
        <v>-0.23669999999999999</v>
      </c>
      <c r="C67" s="43">
        <v>0.4</v>
      </c>
      <c r="E67" s="49">
        <v>10</v>
      </c>
      <c r="F67" s="50">
        <v>6.2100000000000002E-2</v>
      </c>
    </row>
    <row r="68" spans="1:6" x14ac:dyDescent="0.2">
      <c r="A68" s="41">
        <v>2001</v>
      </c>
      <c r="B68" s="42">
        <v>-1.9400000000000001E-2</v>
      </c>
      <c r="C68" s="43">
        <v>0.57999999999999996</v>
      </c>
      <c r="E68" s="49">
        <v>11</v>
      </c>
      <c r="F68" s="50">
        <v>5.8700000000000002E-2</v>
      </c>
    </row>
    <row r="69" spans="1:6" x14ac:dyDescent="0.2">
      <c r="A69" s="41">
        <v>2002</v>
      </c>
      <c r="B69" s="42">
        <v>3.49E-2</v>
      </c>
      <c r="C69" s="43">
        <v>0.61</v>
      </c>
      <c r="E69" s="49">
        <v>12</v>
      </c>
      <c r="F69" s="50">
        <v>5.4600000000000003E-2</v>
      </c>
    </row>
    <row r="70" spans="1:6" x14ac:dyDescent="0.2">
      <c r="A70" s="41">
        <v>2003</v>
      </c>
      <c r="B70" s="42">
        <v>-4.6199999999999998E-2</v>
      </c>
      <c r="C70" s="43">
        <v>0.54</v>
      </c>
      <c r="E70" s="49">
        <v>13</v>
      </c>
      <c r="F70" s="50">
        <v>5.04E-2</v>
      </c>
    </row>
    <row r="71" spans="1:6" x14ac:dyDescent="0.2">
      <c r="A71" s="41">
        <v>2004</v>
      </c>
      <c r="B71" s="42">
        <v>-0.27479999999999999</v>
      </c>
      <c r="C71" s="43">
        <v>0.35</v>
      </c>
      <c r="E71" s="49">
        <v>14</v>
      </c>
      <c r="F71" s="50">
        <v>4.65E-2</v>
      </c>
    </row>
    <row r="72" spans="1:6" x14ac:dyDescent="0.2">
      <c r="A72" s="41">
        <v>2005</v>
      </c>
      <c r="B72" s="42">
        <v>8.6300000000000002E-2</v>
      </c>
      <c r="C72" s="43">
        <v>0.59</v>
      </c>
      <c r="E72" s="49">
        <v>15</v>
      </c>
      <c r="F72" s="50">
        <v>4.36E-2</v>
      </c>
    </row>
    <row r="73" spans="1:6" x14ac:dyDescent="0.2">
      <c r="A73" s="41">
        <v>2006</v>
      </c>
      <c r="B73" s="42">
        <v>4.3E-3</v>
      </c>
      <c r="C73" s="43">
        <v>0.54</v>
      </c>
      <c r="E73" s="49">
        <v>16</v>
      </c>
      <c r="F73" s="50">
        <v>4.1599999999999998E-2</v>
      </c>
    </row>
    <row r="74" spans="1:6" x14ac:dyDescent="0.2">
      <c r="A74" s="41">
        <v>2007</v>
      </c>
      <c r="B74" s="42">
        <v>7.4000000000000003E-3</v>
      </c>
      <c r="C74" s="43">
        <v>0.57999999999999996</v>
      </c>
      <c r="E74" s="49">
        <v>17</v>
      </c>
      <c r="F74" s="50">
        <v>3.9699999999999999E-2</v>
      </c>
    </row>
    <row r="75" spans="1:6" x14ac:dyDescent="0.2">
      <c r="A75" s="41">
        <v>2008</v>
      </c>
      <c r="B75" s="42">
        <v>-2.2499999999999999E-2</v>
      </c>
      <c r="C75" s="43">
        <v>0.57999999999999996</v>
      </c>
      <c r="E75" s="49">
        <v>18</v>
      </c>
      <c r="F75" s="50">
        <v>3.73E-2</v>
      </c>
    </row>
    <row r="76" spans="1:6" x14ac:dyDescent="0.2">
      <c r="A76" s="41">
        <v>2009</v>
      </c>
      <c r="B76" s="42">
        <v>0.13869999999999999</v>
      </c>
      <c r="C76" s="43">
        <v>0.71</v>
      </c>
      <c r="E76" s="49">
        <v>19</v>
      </c>
      <c r="F76" s="50">
        <v>3.4599999999999999E-2</v>
      </c>
    </row>
    <row r="77" spans="1:6" x14ac:dyDescent="0.2">
      <c r="A77" s="41">
        <v>2010</v>
      </c>
      <c r="B77" s="42">
        <v>5.2999999999999999E-2</v>
      </c>
      <c r="C77" s="43">
        <v>0.65</v>
      </c>
      <c r="E77" s="49">
        <v>20</v>
      </c>
      <c r="F77" s="50">
        <v>3.2199999999999999E-2</v>
      </c>
    </row>
    <row r="78" spans="1:6" x14ac:dyDescent="0.2">
      <c r="A78" s="41">
        <v>2011</v>
      </c>
      <c r="B78" s="42">
        <v>0.14410000000000001</v>
      </c>
      <c r="C78" s="43">
        <v>0.68</v>
      </c>
      <c r="E78" s="49">
        <v>21</v>
      </c>
      <c r="F78" s="50">
        <v>2.9899999999999999E-2</v>
      </c>
    </row>
    <row r="79" spans="1:6" x14ac:dyDescent="0.2">
      <c r="A79" s="41">
        <v>2012</v>
      </c>
      <c r="B79" s="42">
        <v>4.1300000000000003E-2</v>
      </c>
      <c r="C79" s="43">
        <v>0.61</v>
      </c>
      <c r="E79" s="49">
        <v>22</v>
      </c>
      <c r="F79" s="50">
        <v>2.7400000000000001E-2</v>
      </c>
    </row>
    <row r="80" spans="1:6" x14ac:dyDescent="0.2">
      <c r="A80" s="41">
        <v>2013</v>
      </c>
      <c r="B80" s="42">
        <v>-2.41E-2</v>
      </c>
      <c r="C80" s="43">
        <v>0.61</v>
      </c>
      <c r="E80" s="49">
        <v>23</v>
      </c>
      <c r="F80" s="50">
        <v>2.4899999999999999E-2</v>
      </c>
    </row>
    <row r="81" spans="1:6" x14ac:dyDescent="0.2">
      <c r="A81" s="41">
        <v>2014</v>
      </c>
      <c r="B81" s="42">
        <v>6.6699999999999995E-2</v>
      </c>
      <c r="C81" s="43">
        <v>0.63</v>
      </c>
      <c r="E81" s="49">
        <v>24</v>
      </c>
      <c r="F81" s="50">
        <v>2.24E-2</v>
      </c>
    </row>
    <row r="82" spans="1:6" x14ac:dyDescent="0.2">
      <c r="A82" s="41">
        <v>2015</v>
      </c>
      <c r="B82" s="42">
        <v>0.15459999999999999</v>
      </c>
      <c r="C82" s="43">
        <v>0.75</v>
      </c>
      <c r="E82" s="49">
        <v>25</v>
      </c>
      <c r="F82" s="50">
        <v>1.9699999999999999E-2</v>
      </c>
    </row>
    <row r="83" spans="1:6" x14ac:dyDescent="0.2">
      <c r="A83" s="41">
        <v>2016</v>
      </c>
      <c r="B83" s="42">
        <v>0.36149999999999999</v>
      </c>
      <c r="C83" s="43">
        <v>0.84</v>
      </c>
      <c r="E83" s="49">
        <v>26</v>
      </c>
      <c r="F83" s="50">
        <v>1.6500000000000001E-2</v>
      </c>
    </row>
    <row r="84" spans="1:6" x14ac:dyDescent="0.2">
      <c r="A84" s="41">
        <v>2017</v>
      </c>
      <c r="B84" s="42">
        <v>0.2666</v>
      </c>
      <c r="C84" s="43">
        <v>0.84</v>
      </c>
      <c r="E84" s="49">
        <v>27</v>
      </c>
      <c r="F84" s="50">
        <v>1.2999999999999999E-2</v>
      </c>
    </row>
    <row r="85" spans="1:6" x14ac:dyDescent="0.2">
      <c r="A85" s="41">
        <v>2018</v>
      </c>
      <c r="B85" s="42">
        <v>0.27929999999999999</v>
      </c>
      <c r="C85" s="43">
        <v>0.82</v>
      </c>
      <c r="E85" s="49">
        <v>28</v>
      </c>
      <c r="F85" s="50">
        <v>9.4000000000000004E-3</v>
      </c>
    </row>
    <row r="86" spans="1:6" x14ac:dyDescent="0.2">
      <c r="A86" s="41">
        <v>2019</v>
      </c>
      <c r="B86" s="42">
        <v>0.39789999999999998</v>
      </c>
      <c r="C86" s="43">
        <v>0.92</v>
      </c>
      <c r="E86" s="49">
        <v>29</v>
      </c>
      <c r="F86" s="50">
        <v>6.1999999999999998E-3</v>
      </c>
    </row>
    <row r="87" spans="1:6" x14ac:dyDescent="0.2">
      <c r="A87" s="41">
        <v>2020</v>
      </c>
      <c r="B87" s="42">
        <v>0.32619999999999999</v>
      </c>
      <c r="C87" s="43">
        <v>0.91</v>
      </c>
      <c r="E87" s="49">
        <v>30</v>
      </c>
      <c r="F87" s="50">
        <v>3.0999999999999999E-3</v>
      </c>
    </row>
    <row r="88" spans="1:6" x14ac:dyDescent="0.2">
      <c r="A88" s="41">
        <v>2021</v>
      </c>
      <c r="B88" s="42">
        <v>0.33179999999999998</v>
      </c>
      <c r="C88" s="43">
        <v>0.89</v>
      </c>
      <c r="E88" s="49">
        <v>31</v>
      </c>
      <c r="F88" s="50">
        <v>0</v>
      </c>
    </row>
    <row r="89" spans="1:6" x14ac:dyDescent="0.2">
      <c r="A89" s="41">
        <v>2022</v>
      </c>
      <c r="B89" s="42">
        <v>0.37830000000000003</v>
      </c>
      <c r="C89" s="43">
        <v>0.9</v>
      </c>
    </row>
    <row r="90" spans="1:6" x14ac:dyDescent="0.2">
      <c r="A90" s="41">
        <v>2023</v>
      </c>
      <c r="B90" s="42">
        <v>0.72489999999999999</v>
      </c>
      <c r="C90" s="43">
        <v>1.1599999999999999</v>
      </c>
    </row>
    <row r="91" spans="1:6" x14ac:dyDescent="0.2">
      <c r="A91" s="41">
        <v>2024</v>
      </c>
      <c r="B91" s="42">
        <v>0.68110000000000004</v>
      </c>
      <c r="C91" s="43">
        <v>1.18</v>
      </c>
    </row>
    <row r="92" spans="1:6" x14ac:dyDescent="0.2">
      <c r="A92" s="41">
        <v>2025</v>
      </c>
      <c r="B92" s="42">
        <v>0.44990000000000002</v>
      </c>
      <c r="C92" s="43">
        <v>0.96</v>
      </c>
    </row>
  </sheetData>
  <mergeCells count="56">
    <mergeCell ref="A55:C55"/>
    <mergeCell ref="A12:C12"/>
    <mergeCell ref="M14:P14"/>
    <mergeCell ref="H55:L55"/>
    <mergeCell ref="E15:G15"/>
    <mergeCell ref="I14:K14"/>
    <mergeCell ref="A14:C14"/>
    <mergeCell ref="A13:C13"/>
    <mergeCell ref="I13:K13"/>
    <mergeCell ref="A15:C15"/>
    <mergeCell ref="I15:K15"/>
    <mergeCell ref="E14:G14"/>
    <mergeCell ref="M13:P13"/>
    <mergeCell ref="E13:G13"/>
    <mergeCell ref="I12:K12"/>
    <mergeCell ref="A1:Q1"/>
    <mergeCell ref="E6:G6"/>
    <mergeCell ref="M4:P4"/>
    <mergeCell ref="E11:G11"/>
    <mergeCell ref="A5:C5"/>
    <mergeCell ref="E3:H3"/>
    <mergeCell ref="A8:C8"/>
    <mergeCell ref="I5:K5"/>
    <mergeCell ref="I8:K8"/>
    <mergeCell ref="I4:K4"/>
    <mergeCell ref="A4:C4"/>
    <mergeCell ref="E7:G7"/>
    <mergeCell ref="M9:P9"/>
    <mergeCell ref="A10:C10"/>
    <mergeCell ref="M5:P5"/>
    <mergeCell ref="I10:K10"/>
    <mergeCell ref="A2:Q2"/>
    <mergeCell ref="A9:C9"/>
    <mergeCell ref="M11:P11"/>
    <mergeCell ref="E12:G12"/>
    <mergeCell ref="M10:P10"/>
    <mergeCell ref="M3:Q3"/>
    <mergeCell ref="I6:K6"/>
    <mergeCell ref="I11:K11"/>
    <mergeCell ref="A11:C11"/>
    <mergeCell ref="E5:G5"/>
    <mergeCell ref="I3:L3"/>
    <mergeCell ref="M7:P7"/>
    <mergeCell ref="E8:G8"/>
    <mergeCell ref="A3:D3"/>
    <mergeCell ref="A6:C6"/>
    <mergeCell ref="M12:P12"/>
    <mergeCell ref="E4:G4"/>
    <mergeCell ref="M6:P6"/>
    <mergeCell ref="M15:P15"/>
    <mergeCell ref="A7:C7"/>
    <mergeCell ref="I7:K7"/>
    <mergeCell ref="E10:G10"/>
    <mergeCell ref="M8:P8"/>
    <mergeCell ref="E9:G9"/>
    <mergeCell ref="I9:K9"/>
  </mergeCells>
  <conditionalFormatting sqref="B22:B52">
    <cfRule type="cellIs" dxfId="17" priority="5" operator="greaterThanOrEqual">
      <formula>$D$9</formula>
    </cfRule>
  </conditionalFormatting>
  <conditionalFormatting sqref="D12">
    <cfRule type="cellIs" dxfId="16" priority="6" operator="equal">
      <formula>"DRIFT"</formula>
    </cfRule>
  </conditionalFormatting>
  <conditionalFormatting sqref="E18:E52">
    <cfRule type="cellIs" dxfId="15" priority="1" operator="greaterThan">
      <formula>0.05</formula>
    </cfRule>
    <cfRule type="cellIs" dxfId="14" priority="2" operator="lessThan">
      <formula>-0.05</formula>
    </cfRule>
  </conditionalFormatting>
  <conditionalFormatting sqref="M18:M52">
    <cfRule type="cellIs" dxfId="13" priority="3" operator="greaterThanOrEqual">
      <formula>3</formula>
    </cfRule>
    <cfRule type="cellIs" dxfId="12" priority="4" operator="lessThanOrEqual">
      <formula>-3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2"/>
  <sheetViews>
    <sheetView tabSelected="1" topLeftCell="C5" zoomScale="150" zoomScaleNormal="187" workbookViewId="0">
      <selection activeCell="L15" sqref="L15"/>
    </sheetView>
  </sheetViews>
  <sheetFormatPr baseColWidth="10" defaultColWidth="8.83203125" defaultRowHeight="15" x14ac:dyDescent="0.2"/>
  <cols>
    <col min="1" max="1" width="6" style="53" bestFit="1" customWidth="1"/>
    <col min="2" max="2" width="9.33203125" style="53" bestFit="1" customWidth="1"/>
    <col min="3" max="3" width="9.5" style="53" bestFit="1" customWidth="1"/>
    <col min="4" max="4" width="7.6640625" style="53" customWidth="1"/>
    <col min="5" max="5" width="7" style="53" bestFit="1" customWidth="1"/>
    <col min="6" max="6" width="8.5" style="53" customWidth="1"/>
    <col min="7" max="7" width="6.5" style="53" customWidth="1"/>
    <col min="8" max="8" width="8.1640625" style="53" bestFit="1" customWidth="1"/>
    <col min="9" max="9" width="7.1640625" style="53" bestFit="1" customWidth="1"/>
    <col min="10" max="10" width="6.1640625" style="53" bestFit="1" customWidth="1"/>
    <col min="11" max="11" width="7.1640625" style="53" bestFit="1" customWidth="1"/>
    <col min="12" max="12" width="12.1640625" style="53" bestFit="1" customWidth="1"/>
    <col min="13" max="13" width="5.6640625" style="53" bestFit="1" customWidth="1"/>
    <col min="14" max="14" width="6.6640625" style="53" customWidth="1"/>
    <col min="15" max="15" width="7.6640625" style="53" customWidth="1"/>
    <col min="16" max="16" width="18.6640625" style="53" bestFit="1" customWidth="1"/>
    <col min="17" max="17" width="9.1640625" style="53" bestFit="1" customWidth="1"/>
    <col min="18" max="18" width="5.83203125" style="53" bestFit="1" customWidth="1"/>
    <col min="19" max="19" width="6.83203125" style="53" bestFit="1" customWidth="1"/>
    <col min="20" max="24" width="8.83203125" style="53" customWidth="1"/>
    <col min="25" max="16384" width="8.83203125" style="53"/>
  </cols>
  <sheetData>
    <row r="1" spans="1:17" ht="18" customHeight="1" x14ac:dyDescent="0.2">
      <c r="A1" s="176" t="s">
        <v>168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</row>
    <row r="2" spans="1:17" x14ac:dyDescent="0.2">
      <c r="A2" s="172" t="s">
        <v>169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</row>
    <row r="3" spans="1:17" x14ac:dyDescent="0.2">
      <c r="A3" s="175" t="s">
        <v>2</v>
      </c>
      <c r="B3" s="169"/>
      <c r="C3" s="169"/>
      <c r="D3" s="169"/>
      <c r="E3" s="175" t="s">
        <v>3</v>
      </c>
      <c r="F3" s="169"/>
      <c r="G3" s="169"/>
      <c r="H3" s="169"/>
      <c r="I3" s="175" t="s">
        <v>4</v>
      </c>
      <c r="J3" s="169"/>
      <c r="K3" s="169"/>
      <c r="L3" s="169"/>
      <c r="M3" s="175" t="s">
        <v>5</v>
      </c>
      <c r="N3" s="169"/>
      <c r="O3" s="169"/>
      <c r="P3" s="169"/>
      <c r="Q3" s="169"/>
    </row>
    <row r="4" spans="1:17" x14ac:dyDescent="0.2">
      <c r="A4" s="173" t="s">
        <v>6</v>
      </c>
      <c r="B4" s="165"/>
      <c r="C4" s="166"/>
      <c r="D4" s="66">
        <v>1.25</v>
      </c>
      <c r="E4" s="173" t="s">
        <v>7</v>
      </c>
      <c r="F4" s="165"/>
      <c r="G4" s="166"/>
      <c r="H4" s="67">
        <f>COUNT($B$22:$B$52)</f>
        <v>5</v>
      </c>
      <c r="I4" s="173" t="s">
        <v>8</v>
      </c>
      <c r="J4" s="165"/>
      <c r="K4" s="166"/>
      <c r="L4" s="68" t="s">
        <v>170</v>
      </c>
      <c r="M4" s="173" t="s">
        <v>10</v>
      </c>
      <c r="N4" s="165"/>
      <c r="O4" s="165"/>
      <c r="P4" s="166"/>
      <c r="Q4" s="69"/>
    </row>
    <row r="5" spans="1:17" x14ac:dyDescent="0.2">
      <c r="A5" s="173" t="s">
        <v>11</v>
      </c>
      <c r="B5" s="165"/>
      <c r="C5" s="166"/>
      <c r="D5" s="70">
        <v>1.2549999999999999</v>
      </c>
      <c r="E5" s="173" t="s">
        <v>12</v>
      </c>
      <c r="F5" s="165"/>
      <c r="G5" s="166"/>
      <c r="H5" s="71">
        <f>IF($H$4=0,"",AVERAGE($B$22:$B$52))</f>
        <v>0.70619999999999994</v>
      </c>
      <c r="I5" s="173" t="s">
        <v>13</v>
      </c>
      <c r="J5" s="165"/>
      <c r="K5" s="166"/>
      <c r="L5" s="67">
        <v>51</v>
      </c>
      <c r="M5" s="173" t="s">
        <v>14</v>
      </c>
      <c r="N5" s="165"/>
      <c r="O5" s="165"/>
      <c r="P5" s="166"/>
      <c r="Q5" s="72"/>
    </row>
    <row r="6" spans="1:17" x14ac:dyDescent="0.2">
      <c r="A6" s="173" t="s">
        <v>15</v>
      </c>
      <c r="B6" s="165"/>
      <c r="C6" s="166"/>
      <c r="D6" s="73">
        <v>0.58919999999999995</v>
      </c>
      <c r="E6" s="173" t="s">
        <v>16</v>
      </c>
      <c r="F6" s="165"/>
      <c r="G6" s="166"/>
      <c r="H6" s="71">
        <f>IF(OR($H$4=0,$H$4&gt;=31),"",($D$9*31-SUM($B$22:$B$52))/(31-$H$4))</f>
        <v>0.68947400177533247</v>
      </c>
      <c r="I6" s="173" t="s">
        <v>17</v>
      </c>
      <c r="J6" s="165"/>
      <c r="K6" s="166"/>
      <c r="L6" s="71">
        <v>0.66620000000000001</v>
      </c>
      <c r="M6" s="173" t="s">
        <v>18</v>
      </c>
      <c r="N6" s="165"/>
      <c r="O6" s="165"/>
      <c r="P6" s="166"/>
      <c r="Q6" s="74"/>
    </row>
    <row r="7" spans="1:17" x14ac:dyDescent="0.2">
      <c r="A7" s="173" t="s">
        <v>19</v>
      </c>
      <c r="B7" s="165"/>
      <c r="C7" s="166"/>
      <c r="D7" s="73">
        <v>0.96189999999999998</v>
      </c>
      <c r="E7" s="173" t="s">
        <v>20</v>
      </c>
      <c r="F7" s="165"/>
      <c r="G7" s="166"/>
      <c r="H7" s="75">
        <v>0.6704</v>
      </c>
      <c r="I7" s="173" t="s">
        <v>21</v>
      </c>
      <c r="J7" s="165"/>
      <c r="K7" s="166"/>
      <c r="L7" s="71">
        <v>0.7319</v>
      </c>
      <c r="M7" s="173" t="s">
        <v>22</v>
      </c>
      <c r="N7" s="165"/>
      <c r="O7" s="165"/>
      <c r="P7" s="166"/>
      <c r="Q7" s="76" t="str">
        <f>IF($Q$5="","",$Q$5*$Q$6/100)</f>
        <v/>
      </c>
    </row>
    <row r="8" spans="1:17" x14ac:dyDescent="0.2">
      <c r="A8" s="173" t="s">
        <v>23</v>
      </c>
      <c r="B8" s="165"/>
      <c r="C8" s="166"/>
      <c r="D8" s="73">
        <v>3.5700000000000003E-2</v>
      </c>
      <c r="E8" s="173" t="s">
        <v>24</v>
      </c>
      <c r="F8" s="165"/>
      <c r="G8" s="166"/>
      <c r="H8" s="71">
        <f>(SUM($B$22:$B$52)+(31-$H$4)*$H$7)/31</f>
        <v>0.67617419354838704</v>
      </c>
      <c r="I8" s="173" t="s">
        <v>25</v>
      </c>
      <c r="J8" s="165"/>
      <c r="K8" s="166"/>
      <c r="L8" s="71">
        <v>0.7903</v>
      </c>
      <c r="M8" s="173" t="s">
        <v>26</v>
      </c>
      <c r="N8" s="165"/>
      <c r="O8" s="165"/>
      <c r="P8" s="166"/>
      <c r="Q8" s="77"/>
    </row>
    <row r="9" spans="1:17" x14ac:dyDescent="0.2">
      <c r="A9" s="173" t="s">
        <v>27</v>
      </c>
      <c r="B9" s="165"/>
      <c r="C9" s="166"/>
      <c r="D9" s="78">
        <f>($D$5-$D$6)/$D$7</f>
        <v>0.69217174342447241</v>
      </c>
      <c r="E9" s="173" t="s">
        <v>28</v>
      </c>
      <c r="F9" s="165"/>
      <c r="G9" s="166"/>
      <c r="H9" s="70">
        <f>$D$6+$D$7*$H$8</f>
        <v>1.2396119567741934</v>
      </c>
      <c r="I9" s="173" t="s">
        <v>29</v>
      </c>
      <c r="J9" s="165"/>
      <c r="K9" s="166"/>
      <c r="L9" s="68" t="s">
        <v>171</v>
      </c>
      <c r="M9" s="173" t="s">
        <v>30</v>
      </c>
      <c r="N9" s="165"/>
      <c r="O9" s="165"/>
      <c r="P9" s="166"/>
      <c r="Q9" s="69"/>
    </row>
    <row r="10" spans="1:17" x14ac:dyDescent="0.2">
      <c r="A10" s="173" t="s">
        <v>31</v>
      </c>
      <c r="B10" s="165"/>
      <c r="C10" s="166"/>
      <c r="D10" s="73">
        <f>IFERROR(INDEX($F$57:$F$88,MATCH($H$4,$E$57:$E$88,0)),$D$8)</f>
        <v>5.4100000000000002E-2</v>
      </c>
      <c r="E10" s="173" t="s">
        <v>32</v>
      </c>
      <c r="F10" s="165"/>
      <c r="G10" s="166"/>
      <c r="H10" s="79">
        <f>1-NORMDIST($D$5,$H$9,$D$11,TRUE)</f>
        <v>0.40367755326172283</v>
      </c>
      <c r="I10" s="173" t="s">
        <v>33</v>
      </c>
      <c r="J10" s="165"/>
      <c r="K10" s="166"/>
      <c r="L10" s="80">
        <v>0.74790000000000001</v>
      </c>
      <c r="M10" s="173" t="s">
        <v>34</v>
      </c>
      <c r="N10" s="165"/>
      <c r="O10" s="165"/>
      <c r="P10" s="166"/>
      <c r="Q10" s="76" t="str">
        <f>IF(OR($Q$9="",$Q$4=""),"",IF(UPPER($Q$9)=UPPER($Q$4),$Q$5,0))</f>
        <v/>
      </c>
    </row>
    <row r="11" spans="1:17" x14ac:dyDescent="0.2">
      <c r="A11" s="173" t="s">
        <v>35</v>
      </c>
      <c r="B11" s="165"/>
      <c r="C11" s="166"/>
      <c r="D11" s="73">
        <f>SQRT(($D$7*$D$10)^2+$D$8^2)</f>
        <v>6.3107255245843957E-2</v>
      </c>
      <c r="E11" s="173" t="s">
        <v>36</v>
      </c>
      <c r="F11" s="165"/>
      <c r="G11" s="166"/>
      <c r="H11" s="80">
        <v>0.74790000000000001</v>
      </c>
      <c r="I11" s="173" t="s">
        <v>37</v>
      </c>
      <c r="J11" s="165"/>
      <c r="K11" s="166"/>
      <c r="L11" s="71">
        <f>IFERROR(LOOKUP(9.99E+307,$E$18:$E$52),"")</f>
        <v>0.10206666666666668</v>
      </c>
      <c r="M11" s="174" t="s">
        <v>38</v>
      </c>
      <c r="N11" s="165"/>
      <c r="O11" s="165"/>
      <c r="P11" s="166"/>
      <c r="Q11" s="76" t="str">
        <f>IF($Q$10="","",$Q$10-$Q$7-IF($Q$8="",0,$Q$8))</f>
        <v/>
      </c>
    </row>
    <row r="12" spans="1:17" x14ac:dyDescent="0.2">
      <c r="A12" s="173" t="s">
        <v>39</v>
      </c>
      <c r="B12" s="165"/>
      <c r="C12" s="166"/>
      <c r="D12" s="68" t="str">
        <f>IF(AND(ABS(SLOPE($C$57:$C$92,$B$57:$B$92)-$D$7)&lt;0.0005,ABS(INTERCEPT($C$57:$C$92,$B$57:$B$92)-$D$6)&lt;0.0005,ABS(STEYX($C$57:$C$92,$B$57:$B$92)-$D$8)&lt;0.0005),"OK","DRIFT")</f>
        <v>OK</v>
      </c>
      <c r="E12" s="174" t="s">
        <v>40</v>
      </c>
      <c r="F12" s="165"/>
      <c r="G12" s="166"/>
      <c r="H12" s="79">
        <f>IF($H$11="",$H$10,$H$11)</f>
        <v>0.74790000000000001</v>
      </c>
      <c r="I12" s="173" t="s">
        <v>41</v>
      </c>
      <c r="J12" s="165"/>
      <c r="K12" s="166"/>
      <c r="L12" s="68" t="str">
        <f>IF($L$11="","",IF($L$11&gt;0.05,"WARM · YES↑",IF($L$11&lt;-0.05,"COLD · YES↓","quiet")))</f>
        <v>WARM · YES↑</v>
      </c>
      <c r="M12" s="174" t="s">
        <v>42</v>
      </c>
      <c r="N12" s="165"/>
      <c r="O12" s="165"/>
      <c r="P12" s="166"/>
      <c r="Q12" s="79" t="str">
        <f>IF(OR($Q$11="",$Q$7=""),"",$Q$11/$Q$7)</f>
        <v/>
      </c>
    </row>
    <row r="13" spans="1:17" x14ac:dyDescent="0.2">
      <c r="A13" s="173" t="s">
        <v>43</v>
      </c>
      <c r="B13" s="165"/>
      <c r="C13" s="166"/>
      <c r="D13" s="66">
        <v>1.3</v>
      </c>
      <c r="E13" s="174" t="s">
        <v>44</v>
      </c>
      <c r="F13" s="165"/>
      <c r="G13" s="166"/>
      <c r="H13" s="81">
        <f>100*(1-$H$12)</f>
        <v>25.21</v>
      </c>
      <c r="I13" s="173" t="s">
        <v>45</v>
      </c>
      <c r="J13" s="165"/>
      <c r="K13" s="166"/>
      <c r="L13" s="82">
        <v>2.24E-2</v>
      </c>
      <c r="M13" s="173" t="s">
        <v>46</v>
      </c>
      <c r="N13" s="165"/>
      <c r="O13" s="165"/>
      <c r="P13" s="166"/>
      <c r="Q13" s="83">
        <v>1000</v>
      </c>
    </row>
    <row r="14" spans="1:17" x14ac:dyDescent="0.2">
      <c r="A14" s="173" t="s">
        <v>47</v>
      </c>
      <c r="B14" s="165"/>
      <c r="C14" s="166"/>
      <c r="D14" s="70">
        <v>1.3049999999999999</v>
      </c>
      <c r="E14" s="174" t="s">
        <v>48</v>
      </c>
      <c r="F14" s="165"/>
      <c r="G14" s="166"/>
      <c r="H14" s="81">
        <f>IF(COUNT($L$18:$L$52)=0,"",LOOKUP(9.99E+307,$L$18:$L$52)-100*$H$12)</f>
        <v>-41.790000000000006</v>
      </c>
      <c r="I14" s="173" t="s">
        <v>49</v>
      </c>
      <c r="J14" s="165"/>
      <c r="K14" s="166"/>
      <c r="L14" s="160" t="s">
        <v>237</v>
      </c>
      <c r="M14" s="173" t="s">
        <v>51</v>
      </c>
      <c r="N14" s="165"/>
      <c r="O14" s="165"/>
      <c r="P14" s="166"/>
      <c r="Q14" s="77"/>
    </row>
    <row r="15" spans="1:17" x14ac:dyDescent="0.2">
      <c r="A15" s="173" t="s">
        <v>52</v>
      </c>
      <c r="B15" s="165"/>
      <c r="C15" s="166"/>
      <c r="D15" s="74">
        <v>1</v>
      </c>
      <c r="E15" s="174" t="s">
        <v>53</v>
      </c>
      <c r="F15" s="165"/>
      <c r="G15" s="166"/>
      <c r="H15" s="68" t="str">
        <f>IF($H$14="","",IF($H$14&gt;=3,"NO CHEAP",IF($H$14&lt;=-3,"NO RICH","FAIR")))</f>
        <v>NO RICH</v>
      </c>
      <c r="I15" s="173" t="s">
        <v>54</v>
      </c>
      <c r="J15" s="165"/>
      <c r="K15" s="166"/>
      <c r="L15" s="70">
        <f>IF(UPPER($L$14)="Y",$H$9+$L$13,$H$9)</f>
        <v>1.2620119567741934</v>
      </c>
      <c r="M15" s="173" t="s">
        <v>55</v>
      </c>
      <c r="N15" s="165"/>
      <c r="O15" s="165"/>
      <c r="P15" s="166"/>
      <c r="Q15" s="79" t="str">
        <f>IF($Q$7="","",$Q$7/$Q$13)</f>
        <v/>
      </c>
    </row>
    <row r="17" spans="1:25" x14ac:dyDescent="0.2">
      <c r="A17" s="84" t="s">
        <v>56</v>
      </c>
      <c r="B17" s="84" t="s">
        <v>57</v>
      </c>
      <c r="C17" s="65" t="s">
        <v>58</v>
      </c>
      <c r="D17" s="84" t="s">
        <v>59</v>
      </c>
      <c r="E17" s="84" t="s">
        <v>60</v>
      </c>
      <c r="F17" s="84" t="s">
        <v>12</v>
      </c>
      <c r="G17" s="84" t="s">
        <v>61</v>
      </c>
      <c r="H17" s="84" t="s">
        <v>62</v>
      </c>
      <c r="I17" s="84" t="s">
        <v>131</v>
      </c>
      <c r="J17" s="84" t="s">
        <v>64</v>
      </c>
      <c r="K17" s="84" t="s">
        <v>132</v>
      </c>
      <c r="L17" s="84" t="s">
        <v>133</v>
      </c>
      <c r="M17" s="84" t="s">
        <v>134</v>
      </c>
      <c r="N17" s="84" t="s">
        <v>67</v>
      </c>
      <c r="O17" s="84" t="s">
        <v>68</v>
      </c>
      <c r="P17" s="84" t="s">
        <v>69</v>
      </c>
      <c r="Q17" s="84" t="s">
        <v>70</v>
      </c>
      <c r="R17" s="84" t="s">
        <v>71</v>
      </c>
      <c r="S17" s="84" t="s">
        <v>72</v>
      </c>
    </row>
    <row r="18" spans="1:25" x14ac:dyDescent="0.2">
      <c r="A18" s="85" t="s">
        <v>163</v>
      </c>
      <c r="B18" s="86">
        <v>0.748</v>
      </c>
      <c r="C18" s="86"/>
      <c r="D18" s="87" t="str">
        <f t="shared" ref="D18:D52" si="0">IF(OR($B18="",$C18=""),"",$B18-$C18)</f>
        <v/>
      </c>
      <c r="E18" s="87" t="str">
        <f t="shared" ref="E18:E52" si="1">IF(COUNT($D16:$D18)&lt;3,"",AVERAGE($D16:$D18))</f>
        <v/>
      </c>
      <c r="F18" s="87"/>
      <c r="G18" s="87">
        <v>0.78800000000000003</v>
      </c>
      <c r="H18" s="87">
        <v>0.70799999999999996</v>
      </c>
      <c r="I18" s="87"/>
      <c r="J18" s="88"/>
      <c r="K18" s="89" t="str">
        <f t="shared" ref="K18:K52" si="2">IF($J18="","",100*(1-$J18))</f>
        <v/>
      </c>
      <c r="L18" s="90">
        <v>8</v>
      </c>
      <c r="M18" s="89" t="str">
        <f t="shared" ref="M18:M52" si="3">IF(OR($J18="",$L18=""),"",$L18-100*$J18)</f>
        <v/>
      </c>
      <c r="N18" s="91">
        <v>415.99</v>
      </c>
      <c r="O18" s="91">
        <v>415.99</v>
      </c>
      <c r="P18" s="92" t="str">
        <f t="shared" ref="P18:P52" si="4">IF($E18="","",IF($E18&gt;0.05,"WARM dev3 — spike risk UP",IF($E18&lt;-0.05,"COLD dev3 — spike risk DOWN","")))</f>
        <v/>
      </c>
      <c r="Q18" s="93"/>
      <c r="R18" s="87"/>
      <c r="S18" s="89" t="str">
        <f t="shared" ref="S18:S52" si="5">IF($J18="","",$J18*100)</f>
        <v/>
      </c>
    </row>
    <row r="19" spans="1:25" x14ac:dyDescent="0.2">
      <c r="A19" s="85" t="s">
        <v>164</v>
      </c>
      <c r="B19" s="86">
        <v>0.70799999999999996</v>
      </c>
      <c r="C19" s="86"/>
      <c r="D19" s="87" t="str">
        <f t="shared" si="0"/>
        <v/>
      </c>
      <c r="E19" s="87" t="str">
        <f t="shared" si="1"/>
        <v/>
      </c>
      <c r="F19" s="87"/>
      <c r="G19" s="87">
        <v>0.749</v>
      </c>
      <c r="H19" s="87">
        <v>0.68600000000000005</v>
      </c>
      <c r="I19" s="87"/>
      <c r="J19" s="88"/>
      <c r="K19" s="89" t="str">
        <f t="shared" si="2"/>
        <v/>
      </c>
      <c r="L19" s="90">
        <v>19</v>
      </c>
      <c r="M19" s="89" t="str">
        <f t="shared" si="3"/>
        <v/>
      </c>
      <c r="N19" s="91">
        <v>148.76</v>
      </c>
      <c r="O19" s="91">
        <v>564.75</v>
      </c>
      <c r="P19" s="92" t="str">
        <f t="shared" si="4"/>
        <v/>
      </c>
      <c r="Q19" s="93"/>
      <c r="R19" s="87"/>
      <c r="S19" s="89" t="str">
        <f t="shared" si="5"/>
        <v/>
      </c>
    </row>
    <row r="20" spans="1:25" x14ac:dyDescent="0.2">
      <c r="A20" s="85" t="s">
        <v>165</v>
      </c>
      <c r="B20" s="86">
        <v>0.68799999999999994</v>
      </c>
      <c r="C20" s="86"/>
      <c r="D20" s="87" t="str">
        <f t="shared" si="0"/>
        <v/>
      </c>
      <c r="E20" s="87" t="str">
        <f t="shared" si="1"/>
        <v/>
      </c>
      <c r="F20" s="87"/>
      <c r="G20" s="87">
        <v>0.72099999999999997</v>
      </c>
      <c r="H20" s="87">
        <v>0.69199999999999995</v>
      </c>
      <c r="I20" s="87"/>
      <c r="J20" s="88"/>
      <c r="K20" s="89" t="str">
        <f t="shared" si="2"/>
        <v/>
      </c>
      <c r="L20" s="90">
        <v>48</v>
      </c>
      <c r="M20" s="158" t="str">
        <f t="shared" si="3"/>
        <v/>
      </c>
      <c r="N20" s="91">
        <v>345.7</v>
      </c>
      <c r="O20" s="91">
        <v>880.69</v>
      </c>
      <c r="P20" s="92" t="str">
        <f t="shared" si="4"/>
        <v/>
      </c>
      <c r="Q20" s="93"/>
      <c r="R20" s="87"/>
      <c r="S20" s="89" t="str">
        <f t="shared" si="5"/>
        <v/>
      </c>
      <c r="X20" s="161"/>
      <c r="Y20" s="161"/>
    </row>
    <row r="21" spans="1:25" x14ac:dyDescent="0.2">
      <c r="A21" s="85" t="s">
        <v>166</v>
      </c>
      <c r="B21" s="86">
        <v>0.71199999999999997</v>
      </c>
      <c r="C21" s="86"/>
      <c r="D21" s="87" t="str">
        <f t="shared" si="0"/>
        <v/>
      </c>
      <c r="E21" s="87" t="str">
        <f t="shared" si="1"/>
        <v/>
      </c>
      <c r="F21" s="87"/>
      <c r="G21" s="87">
        <v>0.72</v>
      </c>
      <c r="H21" s="87">
        <v>0.66700000000000004</v>
      </c>
      <c r="I21" s="87"/>
      <c r="J21" s="88"/>
      <c r="K21" s="89" t="str">
        <f t="shared" si="2"/>
        <v/>
      </c>
      <c r="L21" s="90">
        <v>49</v>
      </c>
      <c r="M21" s="158" t="str">
        <f t="shared" si="3"/>
        <v/>
      </c>
      <c r="N21" s="91">
        <v>605.87</v>
      </c>
      <c r="O21" s="91">
        <v>948.14</v>
      </c>
      <c r="P21" s="92" t="str">
        <f t="shared" si="4"/>
        <v/>
      </c>
      <c r="Q21" s="93"/>
      <c r="R21" s="87"/>
      <c r="S21" s="89" t="str">
        <f t="shared" si="5"/>
        <v/>
      </c>
      <c r="X21" s="161"/>
      <c r="Y21" s="161"/>
    </row>
    <row r="22" spans="1:25" x14ac:dyDescent="0.2">
      <c r="A22" s="94" t="s">
        <v>172</v>
      </c>
      <c r="B22" s="95">
        <v>0.71099999999999997</v>
      </c>
      <c r="C22" s="163">
        <v>0.62780000000000002</v>
      </c>
      <c r="D22" s="96">
        <f t="shared" si="0"/>
        <v>8.3199999999999941E-2</v>
      </c>
      <c r="E22" s="96" t="str">
        <f t="shared" si="1"/>
        <v/>
      </c>
      <c r="F22" s="96">
        <f>IF($B22="","",AVERAGE($B$22:$B22))</f>
        <v>0.71099999999999997</v>
      </c>
      <c r="G22" s="96">
        <v>0.72899999999999998</v>
      </c>
      <c r="H22" s="96">
        <v>0.73499999999999999</v>
      </c>
      <c r="I22" s="96">
        <f>IF(OR($B22="",1&gt;=31),"",($D$9*31-SUM($B$22:$B22))/(31-1))</f>
        <v>0.69154413487195476</v>
      </c>
      <c r="J22" s="97">
        <f>IF($B22="","",1-NORMDIST($D$5,$D$6+$D$7*((SUM($B$22:$B22)+(31-1)*$H$7)/31),$D$11,TRUE))</f>
        <v>0.37756242587024214</v>
      </c>
      <c r="K22" s="98">
        <f t="shared" si="2"/>
        <v>62.243757412975789</v>
      </c>
      <c r="L22" s="99">
        <v>61</v>
      </c>
      <c r="M22" s="159">
        <f t="shared" si="3"/>
        <v>23.243757412975789</v>
      </c>
      <c r="N22" s="100">
        <v>705.96</v>
      </c>
      <c r="O22" s="100">
        <v>1582.2</v>
      </c>
      <c r="P22" s="101" t="str">
        <f t="shared" si="4"/>
        <v/>
      </c>
      <c r="Q22" s="102"/>
      <c r="R22" s="96">
        <f t="shared" ref="R22:R52" si="6">$D$9</f>
        <v>0.69217174342447241</v>
      </c>
      <c r="S22" s="98">
        <f t="shared" si="5"/>
        <v>37.756242587024211</v>
      </c>
      <c r="X22" s="161"/>
      <c r="Y22" s="161"/>
    </row>
    <row r="23" spans="1:25" x14ac:dyDescent="0.2">
      <c r="A23" s="94" t="s">
        <v>173</v>
      </c>
      <c r="B23" s="95">
        <v>0.70599999999999996</v>
      </c>
      <c r="C23" s="163">
        <v>0.58560000000000001</v>
      </c>
      <c r="D23" s="96">
        <f t="shared" si="0"/>
        <v>0.12039999999999995</v>
      </c>
      <c r="E23" s="96" t="str">
        <f t="shared" si="1"/>
        <v/>
      </c>
      <c r="F23" s="96">
        <f>IF($B23="","",AVERAGE($B$22:$B23))</f>
        <v>0.70849999999999991</v>
      </c>
      <c r="G23" s="96">
        <v>0.75549999999999995</v>
      </c>
      <c r="H23" s="96">
        <v>0.746</v>
      </c>
      <c r="I23" s="96">
        <f>IF(OR($B23="",2&gt;=31),"",($D$9*31-SUM($B$22:$B23))/(31-2))</f>
        <v>0.69104565676409124</v>
      </c>
      <c r="J23" s="97">
        <f>IF($B23="","",1-NORMDIST($D$5,$D$6+$D$7*((SUM($B$22:$B23)+(31-2)*$H$7)/31),$D$11,TRUE))</f>
        <v>0.38423187346015242</v>
      </c>
      <c r="K23" s="98">
        <f t="shared" si="2"/>
        <v>61.57681265398476</v>
      </c>
      <c r="L23" s="99">
        <v>41</v>
      </c>
      <c r="M23" s="159">
        <f t="shared" si="3"/>
        <v>2.57681265398476</v>
      </c>
      <c r="N23" s="100">
        <v>873.55</v>
      </c>
      <c r="O23" s="100">
        <v>1854.83</v>
      </c>
      <c r="P23" s="101" t="str">
        <f t="shared" si="4"/>
        <v/>
      </c>
      <c r="Q23" s="102"/>
      <c r="R23" s="96">
        <f t="shared" si="6"/>
        <v>0.69217174342447241</v>
      </c>
      <c r="S23" s="98">
        <f t="shared" si="5"/>
        <v>38.42318734601524</v>
      </c>
      <c r="X23" s="161"/>
      <c r="Y23" s="161"/>
    </row>
    <row r="24" spans="1:25" x14ac:dyDescent="0.2">
      <c r="A24" s="94" t="s">
        <v>174</v>
      </c>
      <c r="B24" s="95">
        <v>0.68799999999999994</v>
      </c>
      <c r="C24" s="163">
        <v>0.57089999999999996</v>
      </c>
      <c r="D24" s="96">
        <f t="shared" si="0"/>
        <v>0.11709999999999998</v>
      </c>
      <c r="E24" s="96">
        <f t="shared" si="1"/>
        <v>0.10689999999999995</v>
      </c>
      <c r="F24" s="96">
        <f>IF($B24="","",AVERAGE($B$22:$B24))</f>
        <v>0.70166666666666655</v>
      </c>
      <c r="G24" s="96">
        <v>0.77600000000000002</v>
      </c>
      <c r="H24" s="96">
        <v>0.75600000000000001</v>
      </c>
      <c r="I24" s="96">
        <f>IF(OR($B24="",3&gt;=31),"",($D$9*31-SUM($B$22:$B24))/(31-3))</f>
        <v>0.69115443021995149</v>
      </c>
      <c r="J24" s="97">
        <f>IF($B24="","",1-NORMDIST($D$5,$D$6+$D$7*((SUM($B$22:$B24)+(31-3)*$H$7)/31),$D$11,TRUE))</f>
        <v>0.38754197279736058</v>
      </c>
      <c r="K24" s="98">
        <f t="shared" si="2"/>
        <v>61.245802720263939</v>
      </c>
      <c r="L24" s="99">
        <v>40</v>
      </c>
      <c r="M24" s="159">
        <f t="shared" si="3"/>
        <v>1.2458027202639386</v>
      </c>
      <c r="N24" s="100">
        <v>240.17</v>
      </c>
      <c r="O24" s="100">
        <v>2002.83</v>
      </c>
      <c r="P24" s="101" t="str">
        <f t="shared" si="4"/>
        <v>WARM dev3 — spike risk UP</v>
      </c>
      <c r="Q24" s="102"/>
      <c r="R24" s="96">
        <f t="shared" si="6"/>
        <v>0.69217174342447241</v>
      </c>
      <c r="S24" s="98">
        <f t="shared" si="5"/>
        <v>38.754197279736061</v>
      </c>
      <c r="X24" s="161"/>
      <c r="Y24" s="161"/>
    </row>
    <row r="25" spans="1:25" x14ac:dyDescent="0.2">
      <c r="A25" s="94" t="s">
        <v>175</v>
      </c>
      <c r="B25" s="95">
        <v>0.66900000000000004</v>
      </c>
      <c r="C25" s="163">
        <v>0.62050000000000005</v>
      </c>
      <c r="D25" s="96">
        <f t="shared" si="0"/>
        <v>4.8499999999999988E-2</v>
      </c>
      <c r="E25" s="96">
        <f t="shared" si="1"/>
        <v>9.5333333333333312E-2</v>
      </c>
      <c r="F25" s="96">
        <f>IF($B25="","",AVERAGE($B$22:$B25))</f>
        <v>0.69349999999999989</v>
      </c>
      <c r="G25" s="96">
        <v>0.78049999999999997</v>
      </c>
      <c r="H25" s="96">
        <v>0.76580000000000004</v>
      </c>
      <c r="I25" s="96">
        <f>IF(OR($B25="",4&gt;=31),"",($D$9*31-SUM($B$22:$B25))/(31-4))</f>
        <v>0.69197496467254227</v>
      </c>
      <c r="J25" s="97">
        <f>IF($B25="","",1-NORMDIST($D$5,$D$6+$D$7*((SUM($B$22:$B25)+(31-4)*$H$7)/31),$D$11,TRUE))</f>
        <v>0.38727836643800173</v>
      </c>
      <c r="K25" s="98">
        <f t="shared" si="2"/>
        <v>61.272163356199826</v>
      </c>
      <c r="L25" s="99">
        <v>42</v>
      </c>
      <c r="M25" s="158">
        <f t="shared" si="3"/>
        <v>3.272163356199826</v>
      </c>
      <c r="N25" s="100">
        <v>454.35</v>
      </c>
      <c r="O25" s="100">
        <v>1889.8</v>
      </c>
      <c r="P25" s="101" t="str">
        <f t="shared" si="4"/>
        <v>WARM dev3 — spike risk UP</v>
      </c>
      <c r="Q25" s="102"/>
      <c r="R25" s="96">
        <f t="shared" si="6"/>
        <v>0.69217174342447241</v>
      </c>
      <c r="S25" s="98">
        <f t="shared" si="5"/>
        <v>38.727836643800174</v>
      </c>
      <c r="X25" s="161"/>
      <c r="Y25" s="161"/>
    </row>
    <row r="26" spans="1:25" x14ac:dyDescent="0.2">
      <c r="A26" s="94" t="s">
        <v>176</v>
      </c>
      <c r="B26" s="95">
        <v>0.75700000000000001</v>
      </c>
      <c r="C26" s="163">
        <v>0.61639999999999995</v>
      </c>
      <c r="D26" s="96">
        <f t="shared" si="0"/>
        <v>0.14060000000000006</v>
      </c>
      <c r="E26" s="96">
        <f t="shared" si="1"/>
        <v>0.10206666666666668</v>
      </c>
      <c r="F26" s="96">
        <f>IF($B26="","",AVERAGE($B$22:$B26))</f>
        <v>0.70619999999999994</v>
      </c>
      <c r="G26" s="96">
        <v>0.78259999999999996</v>
      </c>
      <c r="H26" s="96">
        <v>0.76639999999999997</v>
      </c>
      <c r="I26" s="96">
        <f>IF(OR($B26="",5&gt;=31),"",($D$9*31-SUM($B$22:$B26))/(31-5))</f>
        <v>0.68947400177533247</v>
      </c>
      <c r="J26" s="97">
        <f>IF($B26="","",1-NORMDIST($D$5,$D$6+$D$7*((SUM($B$22:$B26)+(31-5)*$H$7)/31),$D$11,TRUE))</f>
        <v>0.40367755326172283</v>
      </c>
      <c r="K26" s="98">
        <f t="shared" si="2"/>
        <v>59.632244673827714</v>
      </c>
      <c r="L26" s="99">
        <v>36</v>
      </c>
      <c r="M26" s="98">
        <f t="shared" si="3"/>
        <v>-4.3677553261722863</v>
      </c>
      <c r="N26" s="100">
        <v>203.19</v>
      </c>
      <c r="O26" s="100">
        <v>1880.61</v>
      </c>
      <c r="P26" s="101" t="str">
        <f t="shared" si="4"/>
        <v>WARM dev3 — spike risk UP</v>
      </c>
      <c r="Q26" s="102"/>
      <c r="R26" s="96">
        <f t="shared" si="6"/>
        <v>0.69217174342447241</v>
      </c>
      <c r="S26" s="98">
        <f t="shared" si="5"/>
        <v>40.367755326172286</v>
      </c>
      <c r="X26" s="161"/>
      <c r="Y26" s="161"/>
    </row>
    <row r="27" spans="1:25" x14ac:dyDescent="0.2">
      <c r="A27" s="94" t="s">
        <v>177</v>
      </c>
      <c r="B27" s="95"/>
      <c r="C27" s="95">
        <v>0.76280000000000003</v>
      </c>
      <c r="D27" s="96" t="str">
        <f t="shared" si="0"/>
        <v/>
      </c>
      <c r="E27" s="96" t="str">
        <f t="shared" si="1"/>
        <v/>
      </c>
      <c r="F27" s="96" t="str">
        <f>IF($B27="","",AVERAGE($B$22:$B27))</f>
        <v/>
      </c>
      <c r="G27" s="96">
        <v>0.78700000000000003</v>
      </c>
      <c r="H27" s="96">
        <v>0.76049999999999995</v>
      </c>
      <c r="I27" s="96" t="str">
        <f>IF(OR($B27="",6&gt;=31),"",($D$9*31-SUM($B$22:$B27))/(31-6))</f>
        <v/>
      </c>
      <c r="J27" s="97" t="str">
        <f>IF($B27="","",1-NORMDIST($D$5,$D$6+$D$7*((SUM($B$22:$B27)+(31-6)*$H$7)/31),$D$11,TRUE))</f>
        <v/>
      </c>
      <c r="K27" s="98" t="str">
        <f t="shared" si="2"/>
        <v/>
      </c>
      <c r="L27" s="99">
        <v>36</v>
      </c>
      <c r="M27" s="98" t="str">
        <f t="shared" si="3"/>
        <v/>
      </c>
      <c r="N27" s="100">
        <v>276.13</v>
      </c>
      <c r="O27" s="100">
        <v>2078.64</v>
      </c>
      <c r="P27" s="101" t="str">
        <f t="shared" si="4"/>
        <v/>
      </c>
      <c r="Q27" s="102"/>
      <c r="R27" s="96">
        <f t="shared" si="6"/>
        <v>0.69217174342447241</v>
      </c>
      <c r="S27" s="98" t="str">
        <f t="shared" si="5"/>
        <v/>
      </c>
      <c r="X27" s="161"/>
      <c r="Y27" s="161"/>
    </row>
    <row r="28" spans="1:25" x14ac:dyDescent="0.2">
      <c r="A28" s="94" t="s">
        <v>178</v>
      </c>
      <c r="B28" s="95"/>
      <c r="C28" s="95">
        <v>0.75600000000000001</v>
      </c>
      <c r="D28" s="96" t="str">
        <f t="shared" si="0"/>
        <v/>
      </c>
      <c r="E28" s="96" t="str">
        <f t="shared" si="1"/>
        <v/>
      </c>
      <c r="F28" s="96" t="str">
        <f>IF($B28="","",AVERAGE($B$22:$B28))</f>
        <v/>
      </c>
      <c r="G28" s="96">
        <v>0.78900000000000003</v>
      </c>
      <c r="H28" s="96">
        <v>0.74809999999999999</v>
      </c>
      <c r="I28" s="96" t="str">
        <f>IF(OR($B28="",7&gt;=31),"",($D$9*31-SUM($B$22:$B28))/(31-7))</f>
        <v/>
      </c>
      <c r="J28" s="97" t="str">
        <f>IF($B28="","",1-NORMDIST($D$5,$D$6+$D$7*((SUM($B$22:$B28)+(31-7)*$H$7)/31),$D$11,TRUE))</f>
        <v/>
      </c>
      <c r="K28" s="98" t="str">
        <f t="shared" si="2"/>
        <v/>
      </c>
      <c r="L28" s="99">
        <v>33</v>
      </c>
      <c r="M28" s="98" t="str">
        <f t="shared" si="3"/>
        <v/>
      </c>
      <c r="N28" s="100">
        <v>740.94</v>
      </c>
      <c r="O28" s="100">
        <v>2648.98</v>
      </c>
      <c r="P28" s="101" t="str">
        <f t="shared" si="4"/>
        <v/>
      </c>
      <c r="Q28" s="102"/>
      <c r="R28" s="96">
        <f t="shared" si="6"/>
        <v>0.69217174342447241</v>
      </c>
      <c r="S28" s="98" t="str">
        <f t="shared" si="5"/>
        <v/>
      </c>
      <c r="X28" s="161"/>
      <c r="Y28" s="161"/>
    </row>
    <row r="29" spans="1:25" x14ac:dyDescent="0.2">
      <c r="A29" s="94" t="s">
        <v>179</v>
      </c>
      <c r="B29" s="95"/>
      <c r="C29" s="95">
        <v>0.748</v>
      </c>
      <c r="D29" s="96" t="str">
        <f t="shared" si="0"/>
        <v/>
      </c>
      <c r="E29" s="96" t="str">
        <f t="shared" si="1"/>
        <v/>
      </c>
      <c r="F29" s="96" t="str">
        <f>IF($B29="","",AVERAGE($B$22:$B29))</f>
        <v/>
      </c>
      <c r="G29" s="96">
        <v>0.78490000000000004</v>
      </c>
      <c r="H29" s="96">
        <v>0.7339</v>
      </c>
      <c r="I29" s="96" t="str">
        <f>IF(OR($B29="",8&gt;=31),"",($D$9*31-SUM($B$22:$B29))/(31-8))</f>
        <v/>
      </c>
      <c r="J29" s="97" t="str">
        <f>IF($B29="","",1-NORMDIST($D$5,$D$6+$D$7*((SUM($B$22:$B29)+(31-8)*$H$7)/31),$D$11,TRUE))</f>
        <v/>
      </c>
      <c r="K29" s="98" t="str">
        <f t="shared" si="2"/>
        <v/>
      </c>
      <c r="L29" s="99"/>
      <c r="M29" s="98" t="str">
        <f t="shared" si="3"/>
        <v/>
      </c>
      <c r="N29" s="100"/>
      <c r="O29" s="100"/>
      <c r="P29" s="101" t="str">
        <f t="shared" si="4"/>
        <v/>
      </c>
      <c r="Q29" s="102"/>
      <c r="R29" s="96">
        <f t="shared" si="6"/>
        <v>0.69217174342447241</v>
      </c>
      <c r="S29" s="98" t="str">
        <f t="shared" si="5"/>
        <v/>
      </c>
      <c r="X29" s="162"/>
      <c r="Y29" s="162"/>
    </row>
    <row r="30" spans="1:25" x14ac:dyDescent="0.2">
      <c r="A30" s="94" t="s">
        <v>180</v>
      </c>
      <c r="B30" s="95"/>
      <c r="C30" s="95">
        <v>0.77669999999999995</v>
      </c>
      <c r="D30" s="96" t="str">
        <f t="shared" si="0"/>
        <v/>
      </c>
      <c r="E30" s="96" t="str">
        <f t="shared" si="1"/>
        <v/>
      </c>
      <c r="F30" s="96" t="str">
        <f>IF($B30="","",AVERAGE($B$22:$B30))</f>
        <v/>
      </c>
      <c r="G30" s="96">
        <v>0.77769999999999995</v>
      </c>
      <c r="H30" s="96">
        <v>0.72119999999999995</v>
      </c>
      <c r="I30" s="96" t="str">
        <f>IF(OR($B30="",9&gt;=31),"",($D$9*31-SUM($B$22:$B30))/(31-9))</f>
        <v/>
      </c>
      <c r="J30" s="97" t="str">
        <f>IF($B30="","",1-NORMDIST($D$5,$D$6+$D$7*((SUM($B$22:$B30)+(31-9)*$H$7)/31),$D$11,TRUE))</f>
        <v/>
      </c>
      <c r="K30" s="98" t="str">
        <f t="shared" si="2"/>
        <v/>
      </c>
      <c r="L30" s="99"/>
      <c r="M30" s="98" t="str">
        <f t="shared" si="3"/>
        <v/>
      </c>
      <c r="N30" s="100"/>
      <c r="O30" s="100"/>
      <c r="P30" s="101" t="str">
        <f t="shared" si="4"/>
        <v/>
      </c>
      <c r="Q30" s="102"/>
      <c r="R30" s="96">
        <f t="shared" si="6"/>
        <v>0.69217174342447241</v>
      </c>
      <c r="S30" s="98" t="str">
        <f t="shared" si="5"/>
        <v/>
      </c>
    </row>
    <row r="31" spans="1:25" x14ac:dyDescent="0.2">
      <c r="A31" s="94" t="s">
        <v>181</v>
      </c>
      <c r="B31" s="95"/>
      <c r="C31" s="95">
        <v>0.73670000000000002</v>
      </c>
      <c r="D31" s="96" t="str">
        <f t="shared" si="0"/>
        <v/>
      </c>
      <c r="E31" s="96" t="str">
        <f t="shared" si="1"/>
        <v/>
      </c>
      <c r="F31" s="96" t="str">
        <f>IF($B31="","",AVERAGE($B$22:$B31))</f>
        <v/>
      </c>
      <c r="G31" s="96">
        <v>0.76600000000000001</v>
      </c>
      <c r="H31" s="96">
        <v>0.71120000000000005</v>
      </c>
      <c r="I31" s="96" t="str">
        <f>IF(OR($B31="",10&gt;=31),"",($D$9*31-SUM($B$22:$B31))/(31-10))</f>
        <v/>
      </c>
      <c r="J31" s="97" t="str">
        <f>IF($B31="","",1-NORMDIST($D$5,$D$6+$D$7*((SUM($B$22:$B31)+(31-10)*$H$7)/31),$D$11,TRUE))</f>
        <v/>
      </c>
      <c r="K31" s="98" t="str">
        <f t="shared" si="2"/>
        <v/>
      </c>
      <c r="L31" s="99"/>
      <c r="M31" s="98" t="str">
        <f t="shared" si="3"/>
        <v/>
      </c>
      <c r="N31" s="100"/>
      <c r="O31" s="100"/>
      <c r="P31" s="101" t="str">
        <f t="shared" si="4"/>
        <v/>
      </c>
      <c r="Q31" s="102"/>
      <c r="R31" s="96">
        <f t="shared" si="6"/>
        <v>0.69217174342447241</v>
      </c>
      <c r="S31" s="98" t="str">
        <f t="shared" si="5"/>
        <v/>
      </c>
    </row>
    <row r="32" spans="1:25" x14ac:dyDescent="0.2">
      <c r="A32" s="94" t="s">
        <v>182</v>
      </c>
      <c r="B32" s="95"/>
      <c r="C32" s="95">
        <v>0.74409999999999998</v>
      </c>
      <c r="D32" s="96" t="str">
        <f t="shared" si="0"/>
        <v/>
      </c>
      <c r="E32" s="96" t="str">
        <f t="shared" si="1"/>
        <v/>
      </c>
      <c r="F32" s="96" t="str">
        <f>IF($B32="","",AVERAGE($B$22:$B32))</f>
        <v/>
      </c>
      <c r="G32" s="96">
        <v>0.75380000000000003</v>
      </c>
      <c r="H32" s="96">
        <v>0.70099999999999996</v>
      </c>
      <c r="I32" s="96" t="str">
        <f>IF(OR($B32="",11&gt;=31),"",($D$9*31-SUM($B$22:$B32))/(31-11))</f>
        <v/>
      </c>
      <c r="J32" s="97" t="str">
        <f>IF($B32="","",1-NORMDIST($D$5,$D$6+$D$7*((SUM($B$22:$B32)+(31-11)*$H$7)/31),$D$11,TRUE))</f>
        <v/>
      </c>
      <c r="K32" s="98" t="str">
        <f t="shared" si="2"/>
        <v/>
      </c>
      <c r="L32" s="99"/>
      <c r="M32" s="98" t="str">
        <f t="shared" si="3"/>
        <v/>
      </c>
      <c r="N32" s="100"/>
      <c r="O32" s="100"/>
      <c r="P32" s="101" t="str">
        <f t="shared" si="4"/>
        <v/>
      </c>
      <c r="Q32" s="102"/>
      <c r="R32" s="96">
        <f t="shared" si="6"/>
        <v>0.69217174342447241</v>
      </c>
      <c r="S32" s="98" t="str">
        <f t="shared" si="5"/>
        <v/>
      </c>
    </row>
    <row r="33" spans="1:19" x14ac:dyDescent="0.2">
      <c r="A33" s="94" t="s">
        <v>183</v>
      </c>
      <c r="B33" s="95"/>
      <c r="C33" s="95">
        <v>0.76200000000000001</v>
      </c>
      <c r="D33" s="96" t="str">
        <f t="shared" si="0"/>
        <v/>
      </c>
      <c r="E33" s="96" t="str">
        <f t="shared" si="1"/>
        <v/>
      </c>
      <c r="F33" s="96" t="str">
        <f>IF($B33="","",AVERAGE($B$22:$B33))</f>
        <v/>
      </c>
      <c r="G33" s="96">
        <v>0.74150000000000005</v>
      </c>
      <c r="H33" s="96">
        <v>0.6905</v>
      </c>
      <c r="I33" s="96" t="str">
        <f>IF(OR($B33="",12&gt;=31),"",($D$9*31-SUM($B$22:$B33))/(31-12))</f>
        <v/>
      </c>
      <c r="J33" s="97" t="str">
        <f>IF($B33="","",1-NORMDIST($D$5,$D$6+$D$7*((SUM($B$22:$B33)+(31-12)*$H$7)/31),$D$11,TRUE))</f>
        <v/>
      </c>
      <c r="K33" s="98" t="str">
        <f t="shared" si="2"/>
        <v/>
      </c>
      <c r="L33" s="99"/>
      <c r="M33" s="98" t="str">
        <f t="shared" si="3"/>
        <v/>
      </c>
      <c r="N33" s="100"/>
      <c r="O33" s="100"/>
      <c r="P33" s="101" t="str">
        <f t="shared" si="4"/>
        <v/>
      </c>
      <c r="Q33" s="102"/>
      <c r="R33" s="96">
        <f t="shared" si="6"/>
        <v>0.69217174342447241</v>
      </c>
      <c r="S33" s="98" t="str">
        <f t="shared" si="5"/>
        <v/>
      </c>
    </row>
    <row r="34" spans="1:19" x14ac:dyDescent="0.2">
      <c r="A34" s="94" t="s">
        <v>184</v>
      </c>
      <c r="B34" s="95"/>
      <c r="C34" s="95">
        <v>0.86250000000000004</v>
      </c>
      <c r="D34" s="96" t="str">
        <f t="shared" si="0"/>
        <v/>
      </c>
      <c r="E34" s="96" t="str">
        <f t="shared" si="1"/>
        <v/>
      </c>
      <c r="F34" s="96" t="str">
        <f>IF($B34="","",AVERAGE($B$22:$B34))</f>
        <v/>
      </c>
      <c r="G34" s="96">
        <v>0.7278</v>
      </c>
      <c r="H34" s="96">
        <v>0.68159999999999998</v>
      </c>
      <c r="I34" s="96" t="str">
        <f>IF(OR($B34="",13&gt;=31),"",($D$9*31-SUM($B$22:$B34))/(31-13))</f>
        <v/>
      </c>
      <c r="J34" s="97" t="str">
        <f>IF($B34="","",1-NORMDIST($D$5,$D$6+$D$7*((SUM($B$22:$B34)+(31-13)*$H$7)/31),$D$11,TRUE))</f>
        <v/>
      </c>
      <c r="K34" s="98" t="str">
        <f t="shared" si="2"/>
        <v/>
      </c>
      <c r="L34" s="99"/>
      <c r="M34" s="98" t="str">
        <f t="shared" si="3"/>
        <v/>
      </c>
      <c r="N34" s="100"/>
      <c r="O34" s="100"/>
      <c r="P34" s="101" t="str">
        <f t="shared" si="4"/>
        <v/>
      </c>
      <c r="Q34" s="102"/>
      <c r="R34" s="96">
        <f t="shared" si="6"/>
        <v>0.69217174342447241</v>
      </c>
      <c r="S34" s="98" t="str">
        <f t="shared" si="5"/>
        <v/>
      </c>
    </row>
    <row r="35" spans="1:19" x14ac:dyDescent="0.2">
      <c r="A35" s="94" t="s">
        <v>185</v>
      </c>
      <c r="B35" s="95"/>
      <c r="C35" s="95">
        <v>0.84199999999999997</v>
      </c>
      <c r="D35" s="96" t="str">
        <f t="shared" si="0"/>
        <v/>
      </c>
      <c r="E35" s="96" t="str">
        <f t="shared" si="1"/>
        <v/>
      </c>
      <c r="F35" s="96" t="str">
        <f>IF($B35="","",AVERAGE($B$22:$B35))</f>
        <v/>
      </c>
      <c r="G35" s="96">
        <v>0.71589999999999998</v>
      </c>
      <c r="H35" s="96">
        <v>0.67479999999999996</v>
      </c>
      <c r="I35" s="96" t="str">
        <f>IF(OR($B35="",14&gt;=31),"",($D$9*31-SUM($B$22:$B35))/(31-14))</f>
        <v/>
      </c>
      <c r="J35" s="97" t="str">
        <f>IF($B35="","",1-NORMDIST($D$5,$D$6+$D$7*((SUM($B$22:$B35)+(31-14)*$H$7)/31),$D$11,TRUE))</f>
        <v/>
      </c>
      <c r="K35" s="98" t="str">
        <f t="shared" si="2"/>
        <v/>
      </c>
      <c r="L35" s="99"/>
      <c r="M35" s="98" t="str">
        <f t="shared" si="3"/>
        <v/>
      </c>
      <c r="N35" s="100"/>
      <c r="O35" s="100"/>
      <c r="P35" s="101" t="str">
        <f t="shared" si="4"/>
        <v/>
      </c>
      <c r="Q35" s="102"/>
      <c r="R35" s="96">
        <f t="shared" si="6"/>
        <v>0.69217174342447241</v>
      </c>
      <c r="S35" s="98" t="str">
        <f t="shared" si="5"/>
        <v/>
      </c>
    </row>
    <row r="36" spans="1:19" x14ac:dyDescent="0.2">
      <c r="A36" s="94" t="s">
        <v>186</v>
      </c>
      <c r="B36" s="95"/>
      <c r="C36" s="95">
        <v>0.85899999999999999</v>
      </c>
      <c r="D36" s="96" t="str">
        <f t="shared" si="0"/>
        <v/>
      </c>
      <c r="E36" s="96" t="str">
        <f t="shared" si="1"/>
        <v/>
      </c>
      <c r="F36" s="96" t="str">
        <f>IF($B36="","",AVERAGE($B$22:$B36))</f>
        <v/>
      </c>
      <c r="G36" s="96">
        <v>0.7097</v>
      </c>
      <c r="H36" s="96">
        <v>0.67330000000000001</v>
      </c>
      <c r="I36" s="96" t="str">
        <f>IF(OR($B36="",15&gt;=31),"",($D$9*31-SUM($B$22:$B36))/(31-15))</f>
        <v/>
      </c>
      <c r="J36" s="97" t="str">
        <f>IF($B36="","",1-NORMDIST($D$5,$D$6+$D$7*((SUM($B$22:$B36)+(31-15)*$H$7)/31),$D$11,TRUE))</f>
        <v/>
      </c>
      <c r="K36" s="98" t="str">
        <f t="shared" si="2"/>
        <v/>
      </c>
      <c r="L36" s="99"/>
      <c r="M36" s="98" t="str">
        <f t="shared" si="3"/>
        <v/>
      </c>
      <c r="N36" s="100"/>
      <c r="O36" s="100"/>
      <c r="P36" s="101" t="str">
        <f t="shared" si="4"/>
        <v/>
      </c>
      <c r="Q36" s="102"/>
      <c r="R36" s="96">
        <f t="shared" si="6"/>
        <v>0.69217174342447241</v>
      </c>
      <c r="S36" s="98" t="str">
        <f t="shared" si="5"/>
        <v/>
      </c>
    </row>
    <row r="37" spans="1:19" x14ac:dyDescent="0.2">
      <c r="A37" s="94" t="s">
        <v>187</v>
      </c>
      <c r="B37" s="95"/>
      <c r="C37" s="95">
        <v>0.78449999999999998</v>
      </c>
      <c r="D37" s="96" t="str">
        <f t="shared" si="0"/>
        <v/>
      </c>
      <c r="E37" s="96" t="str">
        <f t="shared" si="1"/>
        <v/>
      </c>
      <c r="F37" s="96" t="str">
        <f>IF($B37="","",AVERAGE($B$22:$B37))</f>
        <v/>
      </c>
      <c r="G37" s="96">
        <v>0.70830000000000004</v>
      </c>
      <c r="H37" s="96">
        <v>0.67420000000000002</v>
      </c>
      <c r="I37" s="96" t="str">
        <f>IF(OR($B37="",16&gt;=31),"",($D$9*31-SUM($B$22:$B37))/(31-16))</f>
        <v/>
      </c>
      <c r="J37" s="97" t="str">
        <f>IF($B37="","",1-NORMDIST($D$5,$D$6+$D$7*((SUM($B$22:$B37)+(31-16)*$H$7)/31),$D$11,TRUE))</f>
        <v/>
      </c>
      <c r="K37" s="98" t="str">
        <f t="shared" si="2"/>
        <v/>
      </c>
      <c r="L37" s="99"/>
      <c r="M37" s="98" t="str">
        <f t="shared" si="3"/>
        <v/>
      </c>
      <c r="N37" s="100"/>
      <c r="O37" s="100"/>
      <c r="P37" s="101" t="str">
        <f t="shared" si="4"/>
        <v/>
      </c>
      <c r="Q37" s="102"/>
      <c r="R37" s="96">
        <f t="shared" si="6"/>
        <v>0.69217174342447241</v>
      </c>
      <c r="S37" s="98" t="str">
        <f t="shared" si="5"/>
        <v/>
      </c>
    </row>
    <row r="38" spans="1:19" x14ac:dyDescent="0.2">
      <c r="A38" s="94" t="s">
        <v>188</v>
      </c>
      <c r="B38" s="95"/>
      <c r="C38" s="95">
        <v>0.83189999999999997</v>
      </c>
      <c r="D38" s="96" t="str">
        <f t="shared" si="0"/>
        <v/>
      </c>
      <c r="E38" s="96" t="str">
        <f t="shared" si="1"/>
        <v/>
      </c>
      <c r="F38" s="96" t="str">
        <f>IF($B38="","",AVERAGE($B$22:$B38))</f>
        <v/>
      </c>
      <c r="G38" s="96">
        <v>0.70940000000000003</v>
      </c>
      <c r="H38" s="96">
        <v>0.67520000000000002</v>
      </c>
      <c r="I38" s="96" t="str">
        <f>IF(OR($B38="",17&gt;=31),"",($D$9*31-SUM($B$22:$B38))/(31-17))</f>
        <v/>
      </c>
      <c r="J38" s="97" t="str">
        <f>IF($B38="","",1-NORMDIST($D$5,$D$6+$D$7*((SUM($B$22:$B38)+(31-17)*$H$7)/31),$D$11,TRUE))</f>
        <v/>
      </c>
      <c r="K38" s="98" t="str">
        <f t="shared" si="2"/>
        <v/>
      </c>
      <c r="L38" s="99"/>
      <c r="M38" s="98" t="str">
        <f t="shared" si="3"/>
        <v/>
      </c>
      <c r="N38" s="100"/>
      <c r="O38" s="100"/>
      <c r="P38" s="101" t="str">
        <f t="shared" si="4"/>
        <v/>
      </c>
      <c r="Q38" s="102"/>
      <c r="R38" s="96">
        <f t="shared" si="6"/>
        <v>0.69217174342447241</v>
      </c>
      <c r="S38" s="98" t="str">
        <f t="shared" si="5"/>
        <v/>
      </c>
    </row>
    <row r="39" spans="1:19" x14ac:dyDescent="0.2">
      <c r="A39" s="94" t="s">
        <v>189</v>
      </c>
      <c r="B39" s="95"/>
      <c r="C39" s="95">
        <v>0.82840000000000003</v>
      </c>
      <c r="D39" s="96" t="str">
        <f t="shared" si="0"/>
        <v/>
      </c>
      <c r="E39" s="96" t="str">
        <f t="shared" si="1"/>
        <v/>
      </c>
      <c r="F39" s="96" t="str">
        <f>IF($B39="","",AVERAGE($B$22:$B39))</f>
        <v/>
      </c>
      <c r="G39" s="96">
        <v>0.71330000000000005</v>
      </c>
      <c r="H39" s="96">
        <v>0.67669999999999997</v>
      </c>
      <c r="I39" s="96" t="str">
        <f>IF(OR($B39="",18&gt;=31),"",($D$9*31-SUM($B$22:$B39))/(31-18))</f>
        <v/>
      </c>
      <c r="J39" s="97" t="str">
        <f>IF($B39="","",1-NORMDIST($D$5,$D$6+$D$7*((SUM($B$22:$B39)+(31-18)*$H$7)/31),$D$11,TRUE))</f>
        <v/>
      </c>
      <c r="K39" s="98" t="str">
        <f t="shared" si="2"/>
        <v/>
      </c>
      <c r="L39" s="99"/>
      <c r="M39" s="98" t="str">
        <f t="shared" si="3"/>
        <v/>
      </c>
      <c r="N39" s="100"/>
      <c r="O39" s="100"/>
      <c r="P39" s="101" t="str">
        <f t="shared" si="4"/>
        <v/>
      </c>
      <c r="Q39" s="102"/>
      <c r="R39" s="96">
        <f t="shared" si="6"/>
        <v>0.69217174342447241</v>
      </c>
      <c r="S39" s="98" t="str">
        <f t="shared" si="5"/>
        <v/>
      </c>
    </row>
    <row r="40" spans="1:19" x14ac:dyDescent="0.2">
      <c r="A40" s="94" t="s">
        <v>190</v>
      </c>
      <c r="B40" s="95"/>
      <c r="C40" s="95">
        <v>0.81810000000000005</v>
      </c>
      <c r="D40" s="96" t="str">
        <f t="shared" si="0"/>
        <v/>
      </c>
      <c r="E40" s="96" t="str">
        <f t="shared" si="1"/>
        <v/>
      </c>
      <c r="F40" s="96" t="str">
        <f>IF($B40="","",AVERAGE($B$22:$B40))</f>
        <v/>
      </c>
      <c r="G40" s="96">
        <v>0.71809999999999996</v>
      </c>
      <c r="H40" s="96">
        <v>0.67630000000000001</v>
      </c>
      <c r="I40" s="96" t="str">
        <f>IF(OR($B40="",19&gt;=31),"",($D$9*31-SUM($B$22:$B40))/(31-19))</f>
        <v/>
      </c>
      <c r="J40" s="97" t="str">
        <f>IF($B40="","",1-NORMDIST($D$5,$D$6+$D$7*((SUM($B$22:$B40)+(31-19)*$H$7)/31),$D$11,TRUE))</f>
        <v/>
      </c>
      <c r="K40" s="98" t="str">
        <f t="shared" si="2"/>
        <v/>
      </c>
      <c r="L40" s="99"/>
      <c r="M40" s="98" t="str">
        <f t="shared" si="3"/>
        <v/>
      </c>
      <c r="N40" s="100"/>
      <c r="O40" s="100"/>
      <c r="P40" s="101" t="str">
        <f t="shared" si="4"/>
        <v/>
      </c>
      <c r="Q40" s="102"/>
      <c r="R40" s="96">
        <f t="shared" si="6"/>
        <v>0.69217174342447241</v>
      </c>
      <c r="S40" s="98" t="str">
        <f t="shared" si="5"/>
        <v/>
      </c>
    </row>
    <row r="41" spans="1:19" x14ac:dyDescent="0.2">
      <c r="A41" s="94" t="s">
        <v>191</v>
      </c>
      <c r="B41" s="95"/>
      <c r="C41" s="95"/>
      <c r="D41" s="96" t="str">
        <f t="shared" si="0"/>
        <v/>
      </c>
      <c r="E41" s="96" t="str">
        <f t="shared" si="1"/>
        <v/>
      </c>
      <c r="F41" s="96" t="str">
        <f>IF($B41="","",AVERAGE($B$22:$B41))</f>
        <v/>
      </c>
      <c r="G41" s="96">
        <v>0.71879999999999999</v>
      </c>
      <c r="H41" s="96">
        <v>0.67630000000000001</v>
      </c>
      <c r="I41" s="96" t="str">
        <f>IF(OR($B41="",20&gt;=31),"",($D$9*31-SUM($B$22:$B41))/(31-20))</f>
        <v/>
      </c>
      <c r="J41" s="97" t="str">
        <f>IF($B41="","",1-NORMDIST($D$5,$D$6+$D$7*((SUM($B$22:$B41)+(31-20)*$H$7)/31),$D$11,TRUE))</f>
        <v/>
      </c>
      <c r="K41" s="98" t="str">
        <f t="shared" si="2"/>
        <v/>
      </c>
      <c r="L41" s="99"/>
      <c r="M41" s="98" t="str">
        <f t="shared" si="3"/>
        <v/>
      </c>
      <c r="N41" s="100"/>
      <c r="O41" s="100"/>
      <c r="P41" s="101" t="str">
        <f t="shared" si="4"/>
        <v/>
      </c>
      <c r="Q41" s="102"/>
      <c r="R41" s="96">
        <f t="shared" si="6"/>
        <v>0.69217174342447241</v>
      </c>
      <c r="S41" s="98" t="str">
        <f t="shared" si="5"/>
        <v/>
      </c>
    </row>
    <row r="42" spans="1:19" x14ac:dyDescent="0.2">
      <c r="A42" s="94" t="s">
        <v>192</v>
      </c>
      <c r="B42" s="95"/>
      <c r="C42" s="95"/>
      <c r="D42" s="96" t="str">
        <f t="shared" si="0"/>
        <v/>
      </c>
      <c r="E42" s="96" t="str">
        <f t="shared" si="1"/>
        <v/>
      </c>
      <c r="F42" s="96" t="str">
        <f>IF($B42="","",AVERAGE($B$22:$B42))</f>
        <v/>
      </c>
      <c r="G42" s="96">
        <v>0.71760000000000002</v>
      </c>
      <c r="H42" s="96">
        <v>0.6784</v>
      </c>
      <c r="I42" s="96" t="str">
        <f>IF(OR($B42="",21&gt;=31),"",($D$9*31-SUM($B$22:$B42))/(31-21))</f>
        <v/>
      </c>
      <c r="J42" s="97" t="str">
        <f>IF($B42="","",1-NORMDIST($D$5,$D$6+$D$7*((SUM($B$22:$B42)+(31-21)*$H$7)/31),$D$11,TRUE))</f>
        <v/>
      </c>
      <c r="K42" s="98" t="str">
        <f t="shared" si="2"/>
        <v/>
      </c>
      <c r="L42" s="99"/>
      <c r="M42" s="98" t="str">
        <f t="shared" si="3"/>
        <v/>
      </c>
      <c r="N42" s="100"/>
      <c r="O42" s="100"/>
      <c r="P42" s="101" t="str">
        <f t="shared" si="4"/>
        <v/>
      </c>
      <c r="Q42" s="102"/>
      <c r="R42" s="96">
        <f t="shared" si="6"/>
        <v>0.69217174342447241</v>
      </c>
      <c r="S42" s="98" t="str">
        <f t="shared" si="5"/>
        <v/>
      </c>
    </row>
    <row r="43" spans="1:19" x14ac:dyDescent="0.2">
      <c r="A43" s="94" t="s">
        <v>193</v>
      </c>
      <c r="B43" s="95"/>
      <c r="C43" s="95"/>
      <c r="D43" s="96" t="str">
        <f t="shared" si="0"/>
        <v/>
      </c>
      <c r="E43" s="96" t="str">
        <f t="shared" si="1"/>
        <v/>
      </c>
      <c r="F43" s="96" t="str">
        <f>IF($B43="","",AVERAGE($B$22:$B43))</f>
        <v/>
      </c>
      <c r="G43" s="96">
        <v>0.71519999999999995</v>
      </c>
      <c r="H43" s="96">
        <v>0.68210000000000004</v>
      </c>
      <c r="I43" s="96" t="str">
        <f>IF(OR($B43="",22&gt;=31),"",($D$9*31-SUM($B$22:$B43))/(31-22))</f>
        <v/>
      </c>
      <c r="J43" s="97" t="str">
        <f>IF($B43="","",1-NORMDIST($D$5,$D$6+$D$7*((SUM($B$22:$B43)+(31-22)*$H$7)/31),$D$11,TRUE))</f>
        <v/>
      </c>
      <c r="K43" s="98" t="str">
        <f t="shared" si="2"/>
        <v/>
      </c>
      <c r="L43" s="99"/>
      <c r="M43" s="98" t="str">
        <f t="shared" si="3"/>
        <v/>
      </c>
      <c r="N43" s="100"/>
      <c r="O43" s="100"/>
      <c r="P43" s="101" t="str">
        <f t="shared" si="4"/>
        <v/>
      </c>
      <c r="Q43" s="102"/>
      <c r="R43" s="96">
        <f t="shared" si="6"/>
        <v>0.69217174342447241</v>
      </c>
      <c r="S43" s="98" t="str">
        <f t="shared" si="5"/>
        <v/>
      </c>
    </row>
    <row r="44" spans="1:19" x14ac:dyDescent="0.2">
      <c r="A44" s="94" t="s">
        <v>194</v>
      </c>
      <c r="B44" s="95"/>
      <c r="C44" s="95"/>
      <c r="D44" s="96" t="str">
        <f t="shared" si="0"/>
        <v/>
      </c>
      <c r="E44" s="96" t="str">
        <f t="shared" si="1"/>
        <v/>
      </c>
      <c r="F44" s="96" t="str">
        <f>IF($B44="","",AVERAGE($B$22:$B44))</f>
        <v/>
      </c>
      <c r="G44" s="96">
        <v>0.71209999999999996</v>
      </c>
      <c r="H44" s="96">
        <v>0.68610000000000004</v>
      </c>
      <c r="I44" s="96" t="str">
        <f>IF(OR($B44="",23&gt;=31),"",($D$9*31-SUM($B$22:$B44))/(31-23))</f>
        <v/>
      </c>
      <c r="J44" s="97" t="str">
        <f>IF($B44="","",1-NORMDIST($D$5,$D$6+$D$7*((SUM($B$22:$B44)+(31-23)*$H$7)/31),$D$11,TRUE))</f>
        <v/>
      </c>
      <c r="K44" s="98" t="str">
        <f t="shared" si="2"/>
        <v/>
      </c>
      <c r="L44" s="99"/>
      <c r="M44" s="98" t="str">
        <f t="shared" si="3"/>
        <v/>
      </c>
      <c r="N44" s="100"/>
      <c r="O44" s="100"/>
      <c r="P44" s="101" t="str">
        <f t="shared" si="4"/>
        <v/>
      </c>
      <c r="Q44" s="102"/>
      <c r="R44" s="96">
        <f t="shared" si="6"/>
        <v>0.69217174342447241</v>
      </c>
      <c r="S44" s="98" t="str">
        <f t="shared" si="5"/>
        <v/>
      </c>
    </row>
    <row r="45" spans="1:19" x14ac:dyDescent="0.2">
      <c r="A45" s="94" t="s">
        <v>195</v>
      </c>
      <c r="B45" s="95"/>
      <c r="C45" s="95"/>
      <c r="D45" s="96" t="str">
        <f t="shared" si="0"/>
        <v/>
      </c>
      <c r="E45" s="96" t="str">
        <f t="shared" si="1"/>
        <v/>
      </c>
      <c r="F45" s="96" t="str">
        <f>IF($B45="","",AVERAGE($B$22:$B45))</f>
        <v/>
      </c>
      <c r="G45" s="96">
        <v>0.70750000000000002</v>
      </c>
      <c r="H45" s="96">
        <v>0.69169999999999998</v>
      </c>
      <c r="I45" s="96" t="str">
        <f>IF(OR($B45="",24&gt;=31),"",($D$9*31-SUM($B$22:$B45))/(31-24))</f>
        <v/>
      </c>
      <c r="J45" s="97" t="str">
        <f>IF($B45="","",1-NORMDIST($D$5,$D$6+$D$7*((SUM($B$22:$B45)+(31-24)*$H$7)/31),$D$11,TRUE))</f>
        <v/>
      </c>
      <c r="K45" s="98" t="str">
        <f t="shared" si="2"/>
        <v/>
      </c>
      <c r="L45" s="99"/>
      <c r="M45" s="98" t="str">
        <f t="shared" si="3"/>
        <v/>
      </c>
      <c r="N45" s="100"/>
      <c r="O45" s="100"/>
      <c r="P45" s="101" t="str">
        <f t="shared" si="4"/>
        <v/>
      </c>
      <c r="Q45" s="102"/>
      <c r="R45" s="96">
        <f t="shared" si="6"/>
        <v>0.69217174342447241</v>
      </c>
      <c r="S45" s="98" t="str">
        <f t="shared" si="5"/>
        <v/>
      </c>
    </row>
    <row r="46" spans="1:19" x14ac:dyDescent="0.2">
      <c r="A46" s="94" t="s">
        <v>196</v>
      </c>
      <c r="B46" s="95"/>
      <c r="C46" s="95"/>
      <c r="D46" s="96" t="str">
        <f t="shared" si="0"/>
        <v/>
      </c>
      <c r="E46" s="96" t="str">
        <f t="shared" si="1"/>
        <v/>
      </c>
      <c r="F46" s="96" t="str">
        <f>IF($B46="","",AVERAGE($B$22:$B46))</f>
        <v/>
      </c>
      <c r="G46" s="96">
        <v>0.70199999999999996</v>
      </c>
      <c r="H46" s="96">
        <v>0.69899999999999995</v>
      </c>
      <c r="I46" s="96" t="str">
        <f>IF(OR($B46="",25&gt;=31),"",($D$9*31-SUM($B$22:$B46))/(31-25))</f>
        <v/>
      </c>
      <c r="J46" s="97" t="str">
        <f>IF($B46="","",1-NORMDIST($D$5,$D$6+$D$7*((SUM($B$22:$B46)+(31-25)*$H$7)/31),$D$11,TRUE))</f>
        <v/>
      </c>
      <c r="K46" s="98" t="str">
        <f t="shared" si="2"/>
        <v/>
      </c>
      <c r="L46" s="99"/>
      <c r="M46" s="98" t="str">
        <f t="shared" si="3"/>
        <v/>
      </c>
      <c r="N46" s="100"/>
      <c r="O46" s="100"/>
      <c r="P46" s="101" t="str">
        <f t="shared" si="4"/>
        <v/>
      </c>
      <c r="Q46" s="102"/>
      <c r="R46" s="96">
        <f t="shared" si="6"/>
        <v>0.69217174342447241</v>
      </c>
      <c r="S46" s="98" t="str">
        <f t="shared" si="5"/>
        <v/>
      </c>
    </row>
    <row r="47" spans="1:19" x14ac:dyDescent="0.2">
      <c r="A47" s="94" t="s">
        <v>197</v>
      </c>
      <c r="B47" s="95"/>
      <c r="C47" s="95"/>
      <c r="D47" s="96" t="str">
        <f t="shared" si="0"/>
        <v/>
      </c>
      <c r="E47" s="96" t="str">
        <f t="shared" si="1"/>
        <v/>
      </c>
      <c r="F47" s="96" t="str">
        <f>IF($B47="","",AVERAGE($B$22:$B47))</f>
        <v/>
      </c>
      <c r="G47" s="96">
        <v>0.69989999999999997</v>
      </c>
      <c r="H47" s="96">
        <v>0.70379999999999998</v>
      </c>
      <c r="I47" s="96" t="str">
        <f>IF(OR($B47="",26&gt;=31),"",($D$9*31-SUM($B$22:$B47))/(31-26))</f>
        <v/>
      </c>
      <c r="J47" s="97" t="str">
        <f>IF($B47="","",1-NORMDIST($D$5,$D$6+$D$7*((SUM($B$22:$B47)+(31-26)*$H$7)/31),$D$11,TRUE))</f>
        <v/>
      </c>
      <c r="K47" s="98" t="str">
        <f t="shared" si="2"/>
        <v/>
      </c>
      <c r="L47" s="99"/>
      <c r="M47" s="98" t="str">
        <f t="shared" si="3"/>
        <v/>
      </c>
      <c r="N47" s="100"/>
      <c r="O47" s="100"/>
      <c r="P47" s="101" t="str">
        <f t="shared" si="4"/>
        <v/>
      </c>
      <c r="Q47" s="102"/>
      <c r="R47" s="96">
        <f t="shared" si="6"/>
        <v>0.69217174342447241</v>
      </c>
      <c r="S47" s="98" t="str">
        <f t="shared" si="5"/>
        <v/>
      </c>
    </row>
    <row r="48" spans="1:19" x14ac:dyDescent="0.2">
      <c r="A48" s="94" t="s">
        <v>198</v>
      </c>
      <c r="B48" s="95"/>
      <c r="C48" s="95"/>
      <c r="D48" s="96" t="str">
        <f t="shared" si="0"/>
        <v/>
      </c>
      <c r="E48" s="96" t="str">
        <f t="shared" si="1"/>
        <v/>
      </c>
      <c r="F48" s="96" t="str">
        <f>IF($B48="","",AVERAGE($B$22:$B48))</f>
        <v/>
      </c>
      <c r="G48" s="96">
        <v>0.70089999999999997</v>
      </c>
      <c r="H48" s="96">
        <v>0.70550000000000002</v>
      </c>
      <c r="I48" s="96" t="str">
        <f>IF(OR($B48="",27&gt;=31),"",($D$9*31-SUM($B$22:$B48))/(31-27))</f>
        <v/>
      </c>
      <c r="J48" s="97" t="str">
        <f>IF($B48="","",1-NORMDIST($D$5,$D$6+$D$7*((SUM($B$22:$B48)+(31-27)*$H$7)/31),$D$11,TRUE))</f>
        <v/>
      </c>
      <c r="K48" s="98" t="str">
        <f t="shared" si="2"/>
        <v/>
      </c>
      <c r="L48" s="99"/>
      <c r="M48" s="98" t="str">
        <f t="shared" si="3"/>
        <v/>
      </c>
      <c r="N48" s="100"/>
      <c r="O48" s="100"/>
      <c r="P48" s="101" t="str">
        <f t="shared" si="4"/>
        <v/>
      </c>
      <c r="Q48" s="102"/>
      <c r="R48" s="96">
        <f t="shared" si="6"/>
        <v>0.69217174342447241</v>
      </c>
      <c r="S48" s="98" t="str">
        <f t="shared" si="5"/>
        <v/>
      </c>
    </row>
    <row r="49" spans="1:19" x14ac:dyDescent="0.2">
      <c r="A49" s="94" t="s">
        <v>199</v>
      </c>
      <c r="B49" s="95"/>
      <c r="C49" s="95"/>
      <c r="D49" s="96" t="str">
        <f t="shared" si="0"/>
        <v/>
      </c>
      <c r="E49" s="96" t="str">
        <f t="shared" si="1"/>
        <v/>
      </c>
      <c r="F49" s="96" t="str">
        <f>IF($B49="","",AVERAGE($B$22:$B49))</f>
        <v/>
      </c>
      <c r="G49" s="96">
        <v>0.70409999999999995</v>
      </c>
      <c r="H49" s="96">
        <v>0.70669999999999999</v>
      </c>
      <c r="I49" s="96" t="str">
        <f>IF(OR($B49="",28&gt;=31),"",($D$9*31-SUM($B$22:$B49))/(31-28))</f>
        <v/>
      </c>
      <c r="J49" s="97" t="str">
        <f>IF($B49="","",1-NORMDIST($D$5,$D$6+$D$7*((SUM($B$22:$B49)+(31-28)*$H$7)/31),$D$11,TRUE))</f>
        <v/>
      </c>
      <c r="K49" s="98" t="str">
        <f t="shared" si="2"/>
        <v/>
      </c>
      <c r="L49" s="99"/>
      <c r="M49" s="98" t="str">
        <f t="shared" si="3"/>
        <v/>
      </c>
      <c r="N49" s="100"/>
      <c r="O49" s="100"/>
      <c r="P49" s="101" t="str">
        <f t="shared" si="4"/>
        <v/>
      </c>
      <c r="Q49" s="102"/>
      <c r="R49" s="96">
        <f t="shared" si="6"/>
        <v>0.69217174342447241</v>
      </c>
      <c r="S49" s="98" t="str">
        <f t="shared" si="5"/>
        <v/>
      </c>
    </row>
    <row r="50" spans="1:19" x14ac:dyDescent="0.2">
      <c r="A50" s="94" t="s">
        <v>200</v>
      </c>
      <c r="B50" s="95"/>
      <c r="C50" s="95"/>
      <c r="D50" s="96" t="str">
        <f t="shared" si="0"/>
        <v/>
      </c>
      <c r="E50" s="96" t="str">
        <f t="shared" si="1"/>
        <v/>
      </c>
      <c r="F50" s="96" t="str">
        <f>IF($B50="","",AVERAGE($B$22:$B50))</f>
        <v/>
      </c>
      <c r="G50" s="96">
        <v>0.70709999999999995</v>
      </c>
      <c r="H50" s="96">
        <v>0.70920000000000005</v>
      </c>
      <c r="I50" s="96" t="str">
        <f>IF(OR($B50="",29&gt;=31),"",($D$9*31-SUM($B$22:$B50))/(31-29))</f>
        <v/>
      </c>
      <c r="J50" s="97" t="str">
        <f>IF($B50="","",1-NORMDIST($D$5,$D$6+$D$7*((SUM($B$22:$B50)+(31-29)*$H$7)/31),$D$11,TRUE))</f>
        <v/>
      </c>
      <c r="K50" s="98" t="str">
        <f t="shared" si="2"/>
        <v/>
      </c>
      <c r="L50" s="99"/>
      <c r="M50" s="98" t="str">
        <f t="shared" si="3"/>
        <v/>
      </c>
      <c r="N50" s="100"/>
      <c r="O50" s="100"/>
      <c r="P50" s="101" t="str">
        <f t="shared" si="4"/>
        <v/>
      </c>
      <c r="Q50" s="102"/>
      <c r="R50" s="96">
        <f t="shared" si="6"/>
        <v>0.69217174342447241</v>
      </c>
      <c r="S50" s="98" t="str">
        <f t="shared" si="5"/>
        <v/>
      </c>
    </row>
    <row r="51" spans="1:19" x14ac:dyDescent="0.2">
      <c r="A51" s="94" t="s">
        <v>201</v>
      </c>
      <c r="B51" s="95"/>
      <c r="C51" s="95"/>
      <c r="D51" s="96" t="str">
        <f t="shared" si="0"/>
        <v/>
      </c>
      <c r="E51" s="96" t="str">
        <f t="shared" si="1"/>
        <v/>
      </c>
      <c r="F51" s="96" t="str">
        <f>IF($B51="","",AVERAGE($B$22:$B51))</f>
        <v/>
      </c>
      <c r="G51" s="96">
        <v>0.71009999999999995</v>
      </c>
      <c r="H51" s="96">
        <v>0.71089999999999998</v>
      </c>
      <c r="I51" s="96" t="str">
        <f>IF(OR($B51="",30&gt;=31),"",($D$9*31-SUM($B$22:$B51))/(31-30))</f>
        <v/>
      </c>
      <c r="J51" s="97" t="str">
        <f>IF($B51="","",1-NORMDIST($D$5,$D$6+$D$7*((SUM($B$22:$B51)+(31-30)*$H$7)/31),$D$11,TRUE))</f>
        <v/>
      </c>
      <c r="K51" s="98" t="str">
        <f t="shared" si="2"/>
        <v/>
      </c>
      <c r="L51" s="99"/>
      <c r="M51" s="98" t="str">
        <f t="shared" si="3"/>
        <v/>
      </c>
      <c r="N51" s="100"/>
      <c r="O51" s="100"/>
      <c r="P51" s="101" t="str">
        <f t="shared" si="4"/>
        <v/>
      </c>
      <c r="Q51" s="102"/>
      <c r="R51" s="96">
        <f t="shared" si="6"/>
        <v>0.69217174342447241</v>
      </c>
      <c r="S51" s="98" t="str">
        <f t="shared" si="5"/>
        <v/>
      </c>
    </row>
    <row r="52" spans="1:19" x14ac:dyDescent="0.2">
      <c r="A52" s="94" t="s">
        <v>202</v>
      </c>
      <c r="B52" s="95"/>
      <c r="C52" s="95"/>
      <c r="D52" s="96" t="str">
        <f t="shared" si="0"/>
        <v/>
      </c>
      <c r="E52" s="96" t="str">
        <f t="shared" si="1"/>
        <v/>
      </c>
      <c r="F52" s="96" t="str">
        <f>IF($B52="","",AVERAGE($B$22:$B52))</f>
        <v/>
      </c>
      <c r="G52" s="96">
        <v>0.71250000000000002</v>
      </c>
      <c r="H52" s="96">
        <v>0.71050000000000002</v>
      </c>
      <c r="I52" s="96" t="str">
        <f>IF(OR($B52="",31&gt;=31),"",($D$9*31-SUM($B$22:$B52))/(31-31))</f>
        <v/>
      </c>
      <c r="J52" s="97" t="str">
        <f>IF($B52="","",1-NORMDIST($D$5,$D$6+$D$7*((SUM($B$22:$B52)+(31-31)*$H$7)/31),$D$11,TRUE))</f>
        <v/>
      </c>
      <c r="K52" s="98" t="str">
        <f t="shared" si="2"/>
        <v/>
      </c>
      <c r="L52" s="99"/>
      <c r="M52" s="98" t="str">
        <f t="shared" si="3"/>
        <v/>
      </c>
      <c r="N52" s="100"/>
      <c r="O52" s="100"/>
      <c r="P52" s="101" t="str">
        <f t="shared" si="4"/>
        <v/>
      </c>
      <c r="Q52" s="102"/>
      <c r="R52" s="96">
        <f t="shared" si="6"/>
        <v>0.69217174342447241</v>
      </c>
      <c r="S52" s="98" t="str">
        <f t="shared" si="5"/>
        <v/>
      </c>
    </row>
    <row r="53" spans="1:19" x14ac:dyDescent="0.2">
      <c r="A53" s="57" t="s">
        <v>107</v>
      </c>
      <c r="B53" s="55">
        <f t="shared" ref="B53:H53" si="7">AVERAGE(B22:B52)</f>
        <v>0.70619999999999994</v>
      </c>
      <c r="C53" s="55">
        <f t="shared" si="7"/>
        <v>0.74388947368421054</v>
      </c>
      <c r="D53" s="55">
        <f t="shared" si="7"/>
        <v>0.10195999999999998</v>
      </c>
      <c r="E53" s="55">
        <f t="shared" si="7"/>
        <v>0.10143333333333332</v>
      </c>
      <c r="F53" s="55">
        <f t="shared" si="7"/>
        <v>0.70417333333333321</v>
      </c>
      <c r="G53" s="55">
        <f t="shared" si="7"/>
        <v>0.73334838709677408</v>
      </c>
      <c r="H53" s="55">
        <f t="shared" si="7"/>
        <v>0.70735161290322579</v>
      </c>
      <c r="I53" s="55"/>
      <c r="J53" s="58">
        <f>AVERAGE(J22:J52)</f>
        <v>0.38805843836549592</v>
      </c>
      <c r="K53" s="56">
        <f>AVERAGE(K22:K52)</f>
        <v>61.194156163450408</v>
      </c>
      <c r="L53" s="56">
        <f>AVERAGE(L19:L52)</f>
        <v>40.5</v>
      </c>
      <c r="M53" s="56">
        <f>AVERAGE(M19:M52)</f>
        <v>5.1941561634504056</v>
      </c>
      <c r="N53" s="56">
        <f>AVERAGE(N19:N52)</f>
        <v>459.4620000000001</v>
      </c>
      <c r="O53" s="56">
        <f>AVERAGE(O19:O52)</f>
        <v>1633.1469999999999</v>
      </c>
    </row>
    <row r="55" spans="1:19" x14ac:dyDescent="0.2">
      <c r="A55" s="177" t="s">
        <v>203</v>
      </c>
      <c r="B55" s="169"/>
      <c r="C55" s="169"/>
      <c r="E55" s="177" t="s">
        <v>109</v>
      </c>
      <c r="F55" s="169"/>
      <c r="H55" s="177" t="s">
        <v>110</v>
      </c>
      <c r="I55" s="169"/>
      <c r="J55" s="169"/>
      <c r="K55" s="169"/>
      <c r="L55" s="169"/>
    </row>
    <row r="56" spans="1:19" x14ac:dyDescent="0.2">
      <c r="A56" s="103" t="s">
        <v>111</v>
      </c>
      <c r="B56" s="103" t="s">
        <v>112</v>
      </c>
      <c r="C56" s="103" t="s">
        <v>118</v>
      </c>
      <c r="E56" s="103" t="s">
        <v>114</v>
      </c>
      <c r="F56" s="103" t="s">
        <v>115</v>
      </c>
      <c r="H56" s="103" t="s">
        <v>116</v>
      </c>
      <c r="I56" s="103" t="s">
        <v>117</v>
      </c>
      <c r="J56" s="103" t="s">
        <v>118</v>
      </c>
      <c r="K56" s="103" t="s">
        <v>119</v>
      </c>
      <c r="L56" s="103" t="s">
        <v>120</v>
      </c>
    </row>
    <row r="57" spans="1:19" x14ac:dyDescent="0.2">
      <c r="A57" s="104">
        <v>1990</v>
      </c>
      <c r="B57" s="45">
        <v>-0.16470000000000001</v>
      </c>
      <c r="C57" s="46">
        <v>0.33</v>
      </c>
      <c r="E57" s="104">
        <v>0</v>
      </c>
      <c r="F57" s="47">
        <v>6.3799999999999996E-2</v>
      </c>
      <c r="H57" t="s">
        <v>121</v>
      </c>
      <c r="I57">
        <v>0.50960000000000005</v>
      </c>
      <c r="J57">
        <v>1.1000000000000001</v>
      </c>
      <c r="K57">
        <v>1.0963000000000001</v>
      </c>
      <c r="L57">
        <v>3.7000000000000002E-3</v>
      </c>
    </row>
    <row r="58" spans="1:19" x14ac:dyDescent="0.2">
      <c r="A58" s="104">
        <v>1991</v>
      </c>
      <c r="B58" s="45">
        <v>-0.13850000000000001</v>
      </c>
      <c r="C58" s="46">
        <v>0.4</v>
      </c>
      <c r="E58" s="104">
        <v>1</v>
      </c>
      <c r="F58" s="47">
        <v>5.8999999999999997E-2</v>
      </c>
      <c r="H58" t="s">
        <v>122</v>
      </c>
      <c r="I58">
        <v>0.53610000000000002</v>
      </c>
      <c r="J58">
        <v>1.18</v>
      </c>
      <c r="K58">
        <v>1.1486000000000001</v>
      </c>
      <c r="L58">
        <v>3.1399999999999997E-2</v>
      </c>
    </row>
    <row r="59" spans="1:19" x14ac:dyDescent="0.2">
      <c r="A59" s="104">
        <v>1992</v>
      </c>
      <c r="B59" s="45">
        <v>-0.48699999999999999</v>
      </c>
      <c r="C59" s="46">
        <v>0.12</v>
      </c>
      <c r="E59" s="104">
        <v>2</v>
      </c>
      <c r="F59" s="47">
        <v>5.6899999999999999E-2</v>
      </c>
      <c r="H59" t="s">
        <v>123</v>
      </c>
      <c r="I59">
        <v>0.53400000000000003</v>
      </c>
      <c r="J59">
        <v>1.23</v>
      </c>
      <c r="K59">
        <v>1.1708000000000001</v>
      </c>
      <c r="L59">
        <v>5.9200000000000003E-2</v>
      </c>
    </row>
    <row r="60" spans="1:19" x14ac:dyDescent="0.2">
      <c r="A60" s="104">
        <v>1993</v>
      </c>
      <c r="B60" s="45">
        <v>-0.38329999999999997</v>
      </c>
      <c r="C60" s="46">
        <v>0.19</v>
      </c>
      <c r="E60" s="104">
        <v>3</v>
      </c>
      <c r="F60" s="47">
        <v>5.5899999999999998E-2</v>
      </c>
      <c r="H60" t="s">
        <v>124</v>
      </c>
      <c r="I60">
        <v>0.5232</v>
      </c>
      <c r="J60">
        <v>1.1499999999999999</v>
      </c>
      <c r="K60">
        <v>1.1160000000000001</v>
      </c>
      <c r="L60">
        <v>3.4000000000000002E-2</v>
      </c>
    </row>
    <row r="61" spans="1:19" x14ac:dyDescent="0.2">
      <c r="A61" s="104">
        <v>1994</v>
      </c>
      <c r="B61" s="45">
        <v>-0.3831</v>
      </c>
      <c r="C61" s="46">
        <v>0.27</v>
      </c>
      <c r="E61" s="104">
        <v>4</v>
      </c>
      <c r="F61" s="47">
        <v>5.5E-2</v>
      </c>
      <c r="H61" t="s">
        <v>125</v>
      </c>
      <c r="I61">
        <v>0.54549999999999998</v>
      </c>
      <c r="J61">
        <v>1.08</v>
      </c>
      <c r="K61">
        <v>1.0698000000000001</v>
      </c>
      <c r="L61">
        <v>1.0200000000000001E-2</v>
      </c>
    </row>
    <row r="62" spans="1:19" x14ac:dyDescent="0.2">
      <c r="A62" s="104">
        <v>1995</v>
      </c>
      <c r="B62" s="45">
        <v>-0.10580000000000001</v>
      </c>
      <c r="C62" s="46">
        <v>0.51</v>
      </c>
      <c r="E62" s="104">
        <v>5</v>
      </c>
      <c r="F62" s="47">
        <v>5.4100000000000002E-2</v>
      </c>
      <c r="H62" t="s">
        <v>126</v>
      </c>
      <c r="I62">
        <v>0.55930000000000002</v>
      </c>
      <c r="J62">
        <v>1.0900000000000001</v>
      </c>
      <c r="K62">
        <v>1.0941000000000001</v>
      </c>
      <c r="L62">
        <v>-4.1000000000000003E-3</v>
      </c>
    </row>
    <row r="63" spans="1:19" x14ac:dyDescent="0.2">
      <c r="A63" s="104">
        <v>1996</v>
      </c>
      <c r="B63" s="45">
        <v>-0.1104</v>
      </c>
      <c r="C63" s="46">
        <v>0.43</v>
      </c>
      <c r="E63" s="104">
        <v>6</v>
      </c>
      <c r="F63" s="47">
        <v>5.2600000000000001E-2</v>
      </c>
      <c r="H63" s="105" t="s">
        <v>107</v>
      </c>
      <c r="L63" s="48">
        <f>AVERAGE(L57:L62)</f>
        <v>2.2400000000000003E-2</v>
      </c>
    </row>
    <row r="64" spans="1:19" x14ac:dyDescent="0.2">
      <c r="A64" s="104">
        <v>1997</v>
      </c>
      <c r="B64" s="45">
        <v>-0.13289999999999999</v>
      </c>
      <c r="C64" s="46">
        <v>0.47</v>
      </c>
      <c r="E64" s="104">
        <v>7</v>
      </c>
      <c r="F64" s="47">
        <v>5.0200000000000002E-2</v>
      </c>
    </row>
    <row r="65" spans="1:6" x14ac:dyDescent="0.2">
      <c r="A65" s="104">
        <v>1998</v>
      </c>
      <c r="B65" s="45">
        <v>0.1426</v>
      </c>
      <c r="C65" s="46">
        <v>0.71</v>
      </c>
      <c r="E65" s="104">
        <v>8</v>
      </c>
      <c r="F65" s="47">
        <v>4.7399999999999998E-2</v>
      </c>
    </row>
    <row r="66" spans="1:6" x14ac:dyDescent="0.2">
      <c r="A66" s="104">
        <v>1999</v>
      </c>
      <c r="B66" s="45">
        <v>-0.2364</v>
      </c>
      <c r="C66" s="46">
        <v>0.38</v>
      </c>
      <c r="E66" s="104">
        <v>9</v>
      </c>
      <c r="F66" s="47">
        <v>4.4999999999999998E-2</v>
      </c>
    </row>
    <row r="67" spans="1:6" x14ac:dyDescent="0.2">
      <c r="A67" s="104">
        <v>2000</v>
      </c>
      <c r="B67" s="45">
        <v>-0.17380000000000001</v>
      </c>
      <c r="C67" s="46">
        <v>0.44</v>
      </c>
      <c r="E67" s="104">
        <v>10</v>
      </c>
      <c r="F67" s="47">
        <v>4.3200000000000002E-2</v>
      </c>
    </row>
    <row r="68" spans="1:6" x14ac:dyDescent="0.2">
      <c r="A68" s="104">
        <v>2001</v>
      </c>
      <c r="B68" s="45">
        <v>-4.9799999999999997E-2</v>
      </c>
      <c r="C68" s="46">
        <v>0.52</v>
      </c>
      <c r="E68" s="104">
        <v>11</v>
      </c>
      <c r="F68" s="47">
        <v>4.1700000000000001E-2</v>
      </c>
    </row>
    <row r="69" spans="1:6" x14ac:dyDescent="0.2">
      <c r="A69" s="104">
        <v>2002</v>
      </c>
      <c r="B69" s="45">
        <v>-4.5400000000000003E-2</v>
      </c>
      <c r="C69" s="46">
        <v>0.55000000000000004</v>
      </c>
      <c r="E69" s="104">
        <v>12</v>
      </c>
      <c r="F69" s="47">
        <v>4.07E-2</v>
      </c>
    </row>
    <row r="70" spans="1:6" x14ac:dyDescent="0.2">
      <c r="A70" s="104">
        <v>2003</v>
      </c>
      <c r="B70" s="45">
        <v>4.7E-2</v>
      </c>
      <c r="C70" s="46">
        <v>0.62</v>
      </c>
      <c r="E70" s="104">
        <v>13</v>
      </c>
      <c r="F70" s="47">
        <v>4.0399999999999998E-2</v>
      </c>
    </row>
    <row r="71" spans="1:6" x14ac:dyDescent="0.2">
      <c r="A71" s="104">
        <v>2004</v>
      </c>
      <c r="B71" s="45">
        <v>-0.1605</v>
      </c>
      <c r="C71" s="46">
        <v>0.48</v>
      </c>
      <c r="E71" s="104">
        <v>14</v>
      </c>
      <c r="F71" s="47">
        <v>4.0899999999999999E-2</v>
      </c>
    </row>
    <row r="72" spans="1:6" x14ac:dyDescent="0.2">
      <c r="A72" s="104">
        <v>2005</v>
      </c>
      <c r="B72" s="45">
        <v>3.0800000000000001E-2</v>
      </c>
      <c r="C72" s="46">
        <v>0.57999999999999996</v>
      </c>
      <c r="E72" s="104">
        <v>15</v>
      </c>
      <c r="F72" s="47">
        <v>4.1500000000000002E-2</v>
      </c>
    </row>
    <row r="73" spans="1:6" x14ac:dyDescent="0.2">
      <c r="A73" s="104">
        <v>2006</v>
      </c>
      <c r="B73" s="45">
        <v>7.2099999999999997E-2</v>
      </c>
      <c r="C73" s="46">
        <v>0.68</v>
      </c>
      <c r="E73" s="104">
        <v>16</v>
      </c>
      <c r="F73" s="47">
        <v>4.2000000000000003E-2</v>
      </c>
    </row>
    <row r="74" spans="1:6" x14ac:dyDescent="0.2">
      <c r="A74" s="104">
        <v>2007</v>
      </c>
      <c r="B74" s="45">
        <v>-1.77E-2</v>
      </c>
      <c r="C74" s="46">
        <v>0.56000000000000005</v>
      </c>
      <c r="E74" s="104">
        <v>17</v>
      </c>
      <c r="F74" s="47">
        <v>4.2099999999999999E-2</v>
      </c>
    </row>
    <row r="75" spans="1:6" x14ac:dyDescent="0.2">
      <c r="A75" s="104">
        <v>2008</v>
      </c>
      <c r="B75" s="45">
        <v>-7.7899999999999997E-2</v>
      </c>
      <c r="C75" s="46">
        <v>0.52</v>
      </c>
      <c r="E75" s="104">
        <v>18</v>
      </c>
      <c r="F75" s="47">
        <v>4.1700000000000001E-2</v>
      </c>
    </row>
    <row r="76" spans="1:6" x14ac:dyDescent="0.2">
      <c r="A76" s="104">
        <v>2009</v>
      </c>
      <c r="B76" s="45">
        <v>4.6300000000000001E-2</v>
      </c>
      <c r="C76" s="46">
        <v>0.68</v>
      </c>
      <c r="E76" s="104">
        <v>19</v>
      </c>
      <c r="F76" s="47">
        <v>4.0500000000000001E-2</v>
      </c>
    </row>
    <row r="77" spans="1:6" x14ac:dyDescent="0.2">
      <c r="A77" s="104">
        <v>2010</v>
      </c>
      <c r="B77" s="45">
        <v>4.7300000000000002E-2</v>
      </c>
      <c r="C77" s="46">
        <v>0.63</v>
      </c>
      <c r="E77" s="104">
        <v>20</v>
      </c>
      <c r="F77" s="47">
        <v>3.8699999999999998E-2</v>
      </c>
    </row>
    <row r="78" spans="1:6" x14ac:dyDescent="0.2">
      <c r="A78" s="104">
        <v>2011</v>
      </c>
      <c r="B78" s="45">
        <v>0.1119</v>
      </c>
      <c r="C78" s="46">
        <v>0.68</v>
      </c>
      <c r="E78" s="104">
        <v>21</v>
      </c>
      <c r="F78" s="47">
        <v>3.6299999999999999E-2</v>
      </c>
    </row>
    <row r="79" spans="1:6" x14ac:dyDescent="0.2">
      <c r="A79" s="104">
        <v>2012</v>
      </c>
      <c r="B79" s="45">
        <v>7.7399999999999997E-2</v>
      </c>
      <c r="C79" s="46">
        <v>0.65</v>
      </c>
      <c r="E79" s="104">
        <v>22</v>
      </c>
      <c r="F79" s="47">
        <v>3.3399999999999999E-2</v>
      </c>
    </row>
    <row r="80" spans="1:6" x14ac:dyDescent="0.2">
      <c r="A80" s="104">
        <v>2013</v>
      </c>
      <c r="B80" s="45">
        <v>5.57E-2</v>
      </c>
      <c r="C80" s="46">
        <v>0.67</v>
      </c>
      <c r="E80" s="104">
        <v>23</v>
      </c>
      <c r="F80" s="47">
        <v>3.0300000000000001E-2</v>
      </c>
    </row>
    <row r="81" spans="1:6" x14ac:dyDescent="0.2">
      <c r="A81" s="104">
        <v>2014</v>
      </c>
      <c r="B81" s="45">
        <v>0.13700000000000001</v>
      </c>
      <c r="C81" s="46">
        <v>0.8</v>
      </c>
      <c r="E81" s="104">
        <v>24</v>
      </c>
      <c r="F81" s="47">
        <v>2.6499999999999999E-2</v>
      </c>
    </row>
    <row r="82" spans="1:6" x14ac:dyDescent="0.2">
      <c r="A82" s="104">
        <v>2015</v>
      </c>
      <c r="B82" s="45">
        <v>0.24329999999999999</v>
      </c>
      <c r="C82" s="46">
        <v>0.8</v>
      </c>
      <c r="E82" s="104">
        <v>25</v>
      </c>
      <c r="F82" s="47">
        <v>2.2200000000000001E-2</v>
      </c>
    </row>
    <row r="83" spans="1:6" x14ac:dyDescent="0.2">
      <c r="A83" s="104">
        <v>2016</v>
      </c>
      <c r="B83" s="45">
        <v>0.4022</v>
      </c>
      <c r="C83" s="46">
        <v>0.97</v>
      </c>
      <c r="E83" s="104">
        <v>26</v>
      </c>
      <c r="F83" s="47">
        <v>1.7899999999999999E-2</v>
      </c>
    </row>
    <row r="84" spans="1:6" x14ac:dyDescent="0.2">
      <c r="A84" s="104">
        <v>2017</v>
      </c>
      <c r="B84" s="45">
        <v>0.2969</v>
      </c>
      <c r="C84" s="46">
        <v>0.87</v>
      </c>
      <c r="E84" s="104">
        <v>27</v>
      </c>
      <c r="F84" s="47">
        <v>1.3899999999999999E-2</v>
      </c>
    </row>
    <row r="85" spans="1:6" x14ac:dyDescent="0.2">
      <c r="A85" s="104">
        <v>2018</v>
      </c>
      <c r="B85" s="45">
        <v>0.2094</v>
      </c>
      <c r="C85" s="46">
        <v>0.81</v>
      </c>
      <c r="E85" s="104">
        <v>28</v>
      </c>
      <c r="F85" s="47">
        <v>0.01</v>
      </c>
    </row>
    <row r="86" spans="1:6" x14ac:dyDescent="0.2">
      <c r="A86" s="104">
        <v>2019</v>
      </c>
      <c r="B86" s="45">
        <v>0.35699999999999998</v>
      </c>
      <c r="C86" s="46">
        <v>0.94</v>
      </c>
      <c r="E86" s="104">
        <v>29</v>
      </c>
      <c r="F86" s="47">
        <v>6.4000000000000003E-3</v>
      </c>
    </row>
    <row r="87" spans="1:6" x14ac:dyDescent="0.2">
      <c r="A87" s="104">
        <v>2020</v>
      </c>
      <c r="B87" s="45">
        <v>0.2676</v>
      </c>
      <c r="C87" s="46">
        <v>0.9</v>
      </c>
      <c r="E87" s="104">
        <v>30</v>
      </c>
      <c r="F87" s="47">
        <v>3.2000000000000002E-3</v>
      </c>
    </row>
    <row r="88" spans="1:6" x14ac:dyDescent="0.2">
      <c r="A88" s="104">
        <v>2021</v>
      </c>
      <c r="B88" s="45">
        <v>0.312</v>
      </c>
      <c r="C88" s="46">
        <v>0.88</v>
      </c>
      <c r="E88" s="104">
        <v>31</v>
      </c>
      <c r="F88" s="47">
        <v>0</v>
      </c>
    </row>
    <row r="89" spans="1:6" x14ac:dyDescent="0.2">
      <c r="A89" s="104">
        <v>2022</v>
      </c>
      <c r="B89" s="45">
        <v>0.29659999999999997</v>
      </c>
      <c r="C89" s="46">
        <v>0.92</v>
      </c>
    </row>
    <row r="90" spans="1:6" x14ac:dyDescent="0.2">
      <c r="A90" s="104">
        <v>2023</v>
      </c>
      <c r="B90" s="45">
        <v>0.71050000000000002</v>
      </c>
      <c r="C90" s="46">
        <v>1.25</v>
      </c>
    </row>
    <row r="91" spans="1:6" x14ac:dyDescent="0.2">
      <c r="A91" s="104">
        <v>2024</v>
      </c>
      <c r="B91" s="45">
        <v>0.71250000000000002</v>
      </c>
      <c r="C91" s="46">
        <v>1.24</v>
      </c>
    </row>
    <row r="92" spans="1:6" x14ac:dyDescent="0.2">
      <c r="A92" s="104">
        <v>2025</v>
      </c>
      <c r="B92" s="45">
        <v>0.4909</v>
      </c>
      <c r="C92" s="46">
        <v>1.07</v>
      </c>
    </row>
  </sheetData>
  <mergeCells count="57">
    <mergeCell ref="A55:C55"/>
    <mergeCell ref="A12:C12"/>
    <mergeCell ref="M14:P14"/>
    <mergeCell ref="H55:L55"/>
    <mergeCell ref="E15:G15"/>
    <mergeCell ref="I14:K14"/>
    <mergeCell ref="A14:C14"/>
    <mergeCell ref="A13:C13"/>
    <mergeCell ref="I13:K13"/>
    <mergeCell ref="A15:C15"/>
    <mergeCell ref="I15:K15"/>
    <mergeCell ref="E14:G14"/>
    <mergeCell ref="M13:P13"/>
    <mergeCell ref="E13:G13"/>
    <mergeCell ref="E55:F55"/>
    <mergeCell ref="I12:K12"/>
    <mergeCell ref="A1:Q1"/>
    <mergeCell ref="E6:G6"/>
    <mergeCell ref="M4:P4"/>
    <mergeCell ref="E11:G11"/>
    <mergeCell ref="A5:C5"/>
    <mergeCell ref="E3:H3"/>
    <mergeCell ref="A8:C8"/>
    <mergeCell ref="I5:K5"/>
    <mergeCell ref="I8:K8"/>
    <mergeCell ref="I4:K4"/>
    <mergeCell ref="A4:C4"/>
    <mergeCell ref="E7:G7"/>
    <mergeCell ref="M9:P9"/>
    <mergeCell ref="A10:C10"/>
    <mergeCell ref="M5:P5"/>
    <mergeCell ref="I10:K10"/>
    <mergeCell ref="A2:Q2"/>
    <mergeCell ref="A9:C9"/>
    <mergeCell ref="M11:P11"/>
    <mergeCell ref="E12:G12"/>
    <mergeCell ref="M10:P10"/>
    <mergeCell ref="M3:Q3"/>
    <mergeCell ref="I6:K6"/>
    <mergeCell ref="I11:K11"/>
    <mergeCell ref="A11:C11"/>
    <mergeCell ref="E5:G5"/>
    <mergeCell ref="I3:L3"/>
    <mergeCell ref="M7:P7"/>
    <mergeCell ref="E8:G8"/>
    <mergeCell ref="A3:D3"/>
    <mergeCell ref="A6:C6"/>
    <mergeCell ref="M12:P12"/>
    <mergeCell ref="E4:G4"/>
    <mergeCell ref="M6:P6"/>
    <mergeCell ref="M15:P15"/>
    <mergeCell ref="A7:C7"/>
    <mergeCell ref="I7:K7"/>
    <mergeCell ref="E10:G10"/>
    <mergeCell ref="M8:P8"/>
    <mergeCell ref="E9:G9"/>
    <mergeCell ref="I9:K9"/>
  </mergeCells>
  <conditionalFormatting sqref="B22:B52">
    <cfRule type="cellIs" dxfId="11" priority="5" operator="greaterThanOrEqual">
      <formula>$D$9</formula>
    </cfRule>
  </conditionalFormatting>
  <conditionalFormatting sqref="D12">
    <cfRule type="cellIs" dxfId="10" priority="6" operator="equal">
      <formula>"DRIFT"</formula>
    </cfRule>
  </conditionalFormatting>
  <conditionalFormatting sqref="E18:E52">
    <cfRule type="cellIs" dxfId="9" priority="1" operator="greaterThan">
      <formula>0.05</formula>
    </cfRule>
    <cfRule type="cellIs" dxfId="8" priority="2" operator="lessThan">
      <formula>-0.05</formula>
    </cfRule>
  </conditionalFormatting>
  <conditionalFormatting sqref="M18:M52">
    <cfRule type="cellIs" dxfId="7" priority="3" operator="greaterThanOrEqual">
      <formula>3</formula>
    </cfRule>
    <cfRule type="cellIs" dxfId="6" priority="4" operator="lessThanOrEqual">
      <formula>-3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91"/>
  <sheetViews>
    <sheetView topLeftCell="A4" zoomScale="161" zoomScaleNormal="135" workbookViewId="0">
      <selection activeCell="I22" sqref="I22"/>
    </sheetView>
  </sheetViews>
  <sheetFormatPr baseColWidth="10" defaultColWidth="8.83203125" defaultRowHeight="15" x14ac:dyDescent="0.2"/>
  <cols>
    <col min="1" max="1" width="6" customWidth="1"/>
    <col min="2" max="2" width="9.33203125" bestFit="1" customWidth="1"/>
    <col min="3" max="3" width="9.5" bestFit="1" customWidth="1"/>
    <col min="4" max="4" width="7.6640625" customWidth="1"/>
    <col min="5" max="5" width="4.6640625" bestFit="1" customWidth="1"/>
    <col min="6" max="6" width="8.5" customWidth="1"/>
    <col min="7" max="7" width="5.83203125" bestFit="1" customWidth="1"/>
    <col min="8" max="8" width="6.6640625" bestFit="1" customWidth="1"/>
    <col min="9" max="9" width="7.1640625" customWidth="1"/>
    <col min="10" max="10" width="6.1640625" bestFit="1" customWidth="1"/>
    <col min="11" max="11" width="7.1640625" customWidth="1"/>
    <col min="12" max="12" width="7.6640625" bestFit="1" customWidth="1"/>
    <col min="13" max="13" width="4.6640625" bestFit="1" customWidth="1"/>
    <col min="14" max="14" width="6.5" bestFit="1" customWidth="1"/>
    <col min="15" max="15" width="7.1640625" bestFit="1" customWidth="1"/>
    <col min="16" max="16" width="5.6640625" customWidth="1"/>
    <col min="17" max="17" width="7.6640625" customWidth="1"/>
    <col min="18" max="18" width="5.83203125" bestFit="1" customWidth="1"/>
    <col min="19" max="19" width="6.83203125" bestFit="1" customWidth="1"/>
    <col min="20" max="20" width="8.83203125" customWidth="1"/>
  </cols>
  <sheetData>
    <row r="1" spans="1:17" ht="18" customHeight="1" x14ac:dyDescent="0.2">
      <c r="A1" s="183" t="s">
        <v>204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</row>
    <row r="2" spans="1:17" x14ac:dyDescent="0.2">
      <c r="A2" s="172" t="s">
        <v>205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</row>
    <row r="3" spans="1:17" x14ac:dyDescent="0.2">
      <c r="A3" s="178" t="s">
        <v>2</v>
      </c>
      <c r="B3" s="179"/>
      <c r="C3" s="179"/>
      <c r="D3" s="179"/>
      <c r="E3" s="178" t="s">
        <v>3</v>
      </c>
      <c r="F3" s="179"/>
      <c r="G3" s="179"/>
      <c r="H3" s="179"/>
      <c r="I3" s="178" t="s">
        <v>4</v>
      </c>
      <c r="J3" s="179"/>
      <c r="K3" s="179"/>
      <c r="L3" s="179"/>
      <c r="M3" s="178" t="s">
        <v>5</v>
      </c>
      <c r="N3" s="179"/>
      <c r="O3" s="179"/>
      <c r="P3" s="179"/>
      <c r="Q3" s="179"/>
    </row>
    <row r="4" spans="1:17" x14ac:dyDescent="0.2">
      <c r="A4" s="180" t="s">
        <v>6</v>
      </c>
      <c r="B4" s="165"/>
      <c r="C4" s="166"/>
      <c r="D4" s="106">
        <v>1.41</v>
      </c>
      <c r="E4" s="180" t="s">
        <v>7</v>
      </c>
      <c r="F4" s="165"/>
      <c r="G4" s="166"/>
      <c r="H4" s="107">
        <f>COUNT($B$22:$B$51)</f>
        <v>0</v>
      </c>
      <c r="I4" s="180" t="s">
        <v>8</v>
      </c>
      <c r="J4" s="165"/>
      <c r="K4" s="166"/>
      <c r="L4" s="108" t="s">
        <v>9</v>
      </c>
      <c r="M4" s="180" t="s">
        <v>10</v>
      </c>
      <c r="N4" s="165"/>
      <c r="O4" s="165"/>
      <c r="P4" s="166"/>
      <c r="Q4" s="109"/>
    </row>
    <row r="5" spans="1:17" x14ac:dyDescent="0.2">
      <c r="A5" s="180" t="s">
        <v>11</v>
      </c>
      <c r="B5" s="165"/>
      <c r="C5" s="166"/>
      <c r="D5" s="110">
        <v>1.415</v>
      </c>
      <c r="E5" s="180" t="s">
        <v>12</v>
      </c>
      <c r="F5" s="165"/>
      <c r="G5" s="166"/>
      <c r="H5" s="111" t="str">
        <f>IF($H$4=0,"",AVERAGE($B$22:$B$51))</f>
        <v/>
      </c>
      <c r="I5" s="180" t="s">
        <v>13</v>
      </c>
      <c r="J5" s="165"/>
      <c r="K5" s="166"/>
      <c r="L5" s="107"/>
      <c r="M5" s="180" t="s">
        <v>14</v>
      </c>
      <c r="N5" s="165"/>
      <c r="O5" s="165"/>
      <c r="P5" s="166"/>
      <c r="Q5" s="112"/>
    </row>
    <row r="6" spans="1:17" x14ac:dyDescent="0.2">
      <c r="A6" s="180" t="s">
        <v>15</v>
      </c>
      <c r="B6" s="165"/>
      <c r="C6" s="166"/>
      <c r="D6" s="113">
        <v>0.60119999999999996</v>
      </c>
      <c r="E6" s="180" t="s">
        <v>16</v>
      </c>
      <c r="F6" s="165"/>
      <c r="G6" s="166"/>
      <c r="H6" s="111" t="str">
        <f>IF(OR($H$4=0,$H$4&gt;=30),"",($D$9*30-SUM($B$22:$B$51))/(30-$H$4))</f>
        <v/>
      </c>
      <c r="I6" s="180" t="s">
        <v>17</v>
      </c>
      <c r="J6" s="165"/>
      <c r="K6" s="166"/>
      <c r="L6" s="111"/>
      <c r="M6" s="180" t="s">
        <v>18</v>
      </c>
      <c r="N6" s="165"/>
      <c r="O6" s="165"/>
      <c r="P6" s="166"/>
      <c r="Q6" s="114"/>
    </row>
    <row r="7" spans="1:17" x14ac:dyDescent="0.2">
      <c r="A7" s="180" t="s">
        <v>19</v>
      </c>
      <c r="B7" s="165"/>
      <c r="C7" s="166"/>
      <c r="D7" s="113">
        <v>0.87819999999999998</v>
      </c>
      <c r="E7" s="180" t="s">
        <v>20</v>
      </c>
      <c r="F7" s="165"/>
      <c r="G7" s="166"/>
      <c r="H7" s="115">
        <v>0.6704</v>
      </c>
      <c r="I7" s="180" t="s">
        <v>21</v>
      </c>
      <c r="J7" s="165"/>
      <c r="K7" s="166"/>
      <c r="L7" s="111"/>
      <c r="M7" s="180" t="s">
        <v>22</v>
      </c>
      <c r="N7" s="165"/>
      <c r="O7" s="165"/>
      <c r="P7" s="166"/>
      <c r="Q7" s="116" t="str">
        <f>IF($Q$5="","",$Q$5*$Q$6/100)</f>
        <v/>
      </c>
    </row>
    <row r="8" spans="1:17" x14ac:dyDescent="0.2">
      <c r="A8" s="180" t="s">
        <v>23</v>
      </c>
      <c r="B8" s="165"/>
      <c r="C8" s="166"/>
      <c r="D8" s="113">
        <v>3.9E-2</v>
      </c>
      <c r="E8" s="180" t="s">
        <v>24</v>
      </c>
      <c r="F8" s="165"/>
      <c r="G8" s="166"/>
      <c r="H8" s="111">
        <f>(SUM($B$22:$B$51)+(30-$H$4)*$H$7)/30</f>
        <v>0.6704</v>
      </c>
      <c r="I8" s="180" t="s">
        <v>25</v>
      </c>
      <c r="J8" s="165"/>
      <c r="K8" s="166"/>
      <c r="L8" s="111"/>
      <c r="M8" s="180" t="s">
        <v>26</v>
      </c>
      <c r="N8" s="165"/>
      <c r="O8" s="165"/>
      <c r="P8" s="166"/>
      <c r="Q8" s="117"/>
    </row>
    <row r="9" spans="1:17" x14ac:dyDescent="0.2">
      <c r="A9" s="180" t="s">
        <v>27</v>
      </c>
      <c r="B9" s="165"/>
      <c r="C9" s="166"/>
      <c r="D9" s="118">
        <f>($D$5-$D$6)/$D$7</f>
        <v>0.92666818492370773</v>
      </c>
      <c r="E9" s="180" t="s">
        <v>28</v>
      </c>
      <c r="F9" s="165"/>
      <c r="G9" s="166"/>
      <c r="H9" s="110">
        <f>$D$6+$D$7*$H$8</f>
        <v>1.1899452799999999</v>
      </c>
      <c r="I9" s="180" t="s">
        <v>29</v>
      </c>
      <c r="J9" s="165"/>
      <c r="K9" s="166"/>
      <c r="L9" s="108"/>
      <c r="M9" s="180" t="s">
        <v>30</v>
      </c>
      <c r="N9" s="165"/>
      <c r="O9" s="165"/>
      <c r="P9" s="166"/>
      <c r="Q9" s="109"/>
    </row>
    <row r="10" spans="1:17" x14ac:dyDescent="0.2">
      <c r="A10" s="180" t="s">
        <v>31</v>
      </c>
      <c r="B10" s="165"/>
      <c r="C10" s="166"/>
      <c r="D10" s="113">
        <f>IFERROR(INDEX($F$56:$F$86,MATCH($H$4,$E$56:$E$86,0)),$D$8)</f>
        <v>9.2799999999999994E-2</v>
      </c>
      <c r="E10" s="180" t="s">
        <v>32</v>
      </c>
      <c r="F10" s="165"/>
      <c r="G10" s="166"/>
      <c r="H10" s="119">
        <f>1-NORMDIST($D$5,$H$9,$D$11,TRUE)</f>
        <v>6.3696141052587141E-3</v>
      </c>
      <c r="I10" s="180" t="s">
        <v>33</v>
      </c>
      <c r="J10" s="165"/>
      <c r="K10" s="166"/>
      <c r="L10" s="120"/>
      <c r="M10" s="180" t="s">
        <v>34</v>
      </c>
      <c r="N10" s="165"/>
      <c r="O10" s="165"/>
      <c r="P10" s="166"/>
      <c r="Q10" s="116" t="str">
        <f>IF(OR($Q$9="",$Q$4=""),"",IF(UPPER($Q$9)=UPPER($Q$4),$Q$5,0))</f>
        <v/>
      </c>
    </row>
    <row r="11" spans="1:17" x14ac:dyDescent="0.2">
      <c r="A11" s="180" t="s">
        <v>35</v>
      </c>
      <c r="B11" s="165"/>
      <c r="C11" s="166"/>
      <c r="D11" s="113">
        <f>SQRT(($D$7*$D$10)^2+$D$8^2)</f>
        <v>9.0347963392882299E-2</v>
      </c>
      <c r="E11" s="180" t="s">
        <v>36</v>
      </c>
      <c r="F11" s="165"/>
      <c r="G11" s="166"/>
      <c r="H11" s="120"/>
      <c r="I11" s="180" t="s">
        <v>37</v>
      </c>
      <c r="J11" s="165"/>
      <c r="K11" s="166"/>
      <c r="L11" s="111" t="str">
        <f>IFERROR(LOOKUP(9.99E+307,$E$18:$E$51),"")</f>
        <v/>
      </c>
      <c r="M11" s="181" t="s">
        <v>38</v>
      </c>
      <c r="N11" s="165"/>
      <c r="O11" s="165"/>
      <c r="P11" s="166"/>
      <c r="Q11" s="116" t="str">
        <f>IF($Q$10="","",$Q$10-$Q$7-IF($Q$8="",0,$Q$8))</f>
        <v/>
      </c>
    </row>
    <row r="12" spans="1:17" x14ac:dyDescent="0.2">
      <c r="A12" s="180" t="s">
        <v>39</v>
      </c>
      <c r="B12" s="165"/>
      <c r="C12" s="166"/>
      <c r="D12" s="108" t="str">
        <f>IF(AND(ABS(SLOPE($C$56:$C$91,$B$56:$B$91)-$D$7)&lt;0.0005,ABS(INTERCEPT($C$56:$C$91,$B$56:$B$91)-$D$6)&lt;0.0005,ABS(STEYX($C$56:$C$91,$B$56:$B$91)-$D$8)&lt;0.0005),"OK","DRIFT")</f>
        <v>OK</v>
      </c>
      <c r="E12" s="181" t="s">
        <v>40</v>
      </c>
      <c r="F12" s="165"/>
      <c r="G12" s="166"/>
      <c r="H12" s="119">
        <f>IF($H$11="",$H$10,$H$11)</f>
        <v>6.3696141052587141E-3</v>
      </c>
      <c r="I12" s="180" t="s">
        <v>41</v>
      </c>
      <c r="J12" s="165"/>
      <c r="K12" s="166"/>
      <c r="L12" s="108" t="str">
        <f>IF($L$11="","",IF($L$11&gt;0.05,"WARM · YES↑",IF($L$11&lt;-0.05,"COLD · YES↓","quiet")))</f>
        <v/>
      </c>
      <c r="M12" s="181" t="s">
        <v>42</v>
      </c>
      <c r="N12" s="165"/>
      <c r="O12" s="165"/>
      <c r="P12" s="166"/>
      <c r="Q12" s="119" t="str">
        <f>IF(OR($Q$11="",$Q$7=""),"",$Q$11/$Q$7)</f>
        <v/>
      </c>
    </row>
    <row r="13" spans="1:17" x14ac:dyDescent="0.2">
      <c r="A13" s="180" t="s">
        <v>43</v>
      </c>
      <c r="B13" s="165"/>
      <c r="C13" s="166"/>
      <c r="D13" s="106">
        <v>1.48</v>
      </c>
      <c r="E13" s="181" t="s">
        <v>44</v>
      </c>
      <c r="F13" s="165"/>
      <c r="G13" s="166"/>
      <c r="H13" s="121">
        <f>100*(1-$H$12)</f>
        <v>99.363038589474129</v>
      </c>
      <c r="I13" s="180" t="s">
        <v>45</v>
      </c>
      <c r="J13" s="165"/>
      <c r="K13" s="166"/>
      <c r="L13" s="122">
        <v>2.24E-2</v>
      </c>
      <c r="M13" s="180" t="s">
        <v>46</v>
      </c>
      <c r="N13" s="165"/>
      <c r="O13" s="165"/>
      <c r="P13" s="166"/>
      <c r="Q13" s="123">
        <v>300</v>
      </c>
    </row>
    <row r="14" spans="1:17" x14ac:dyDescent="0.2">
      <c r="A14" s="180" t="s">
        <v>47</v>
      </c>
      <c r="B14" s="165"/>
      <c r="C14" s="166"/>
      <c r="D14" s="110">
        <v>1.4850000000000001</v>
      </c>
      <c r="E14" s="181" t="s">
        <v>48</v>
      </c>
      <c r="F14" s="165"/>
      <c r="G14" s="166"/>
      <c r="H14" s="121" t="str">
        <f>IF(COUNT($L$18:$L$51)=0,"",LOOKUP(9.99E+307,$L$18:$L$51)-100*$H$12)</f>
        <v/>
      </c>
      <c r="I14" s="180" t="s">
        <v>49</v>
      </c>
      <c r="J14" s="165"/>
      <c r="K14" s="166"/>
      <c r="L14" s="124" t="s">
        <v>50</v>
      </c>
      <c r="M14" s="180" t="s">
        <v>51</v>
      </c>
      <c r="N14" s="165"/>
      <c r="O14" s="165"/>
      <c r="P14" s="166"/>
      <c r="Q14" s="117"/>
    </row>
    <row r="15" spans="1:17" x14ac:dyDescent="0.2">
      <c r="A15" s="180" t="s">
        <v>52</v>
      </c>
      <c r="B15" s="165"/>
      <c r="C15" s="166"/>
      <c r="D15" s="114">
        <v>1</v>
      </c>
      <c r="E15" s="181" t="s">
        <v>53</v>
      </c>
      <c r="F15" s="165"/>
      <c r="G15" s="166"/>
      <c r="H15" s="108" t="str">
        <f>IF($H$14="","",IF($H$14&gt;=3,"NO CHEAP",IF($H$14&lt;=-3,"NO RICH","FAIR")))</f>
        <v/>
      </c>
      <c r="I15" s="180" t="s">
        <v>54</v>
      </c>
      <c r="J15" s="165"/>
      <c r="K15" s="166"/>
      <c r="L15" s="110">
        <f>IF(UPPER($L$14)="Y",$H$9+$L$13,$H$9)</f>
        <v>1.1899452799999999</v>
      </c>
      <c r="M15" s="180" t="s">
        <v>55</v>
      </c>
      <c r="N15" s="165"/>
      <c r="O15" s="165"/>
      <c r="P15" s="166"/>
      <c r="Q15" s="119" t="str">
        <f>IF($Q$7="","",$Q$7/$Q$13)</f>
        <v/>
      </c>
    </row>
    <row r="17" spans="1:19" x14ac:dyDescent="0.2">
      <c r="A17" s="156" t="s">
        <v>56</v>
      </c>
      <c r="B17" s="157" t="s">
        <v>57</v>
      </c>
      <c r="C17" s="155" t="s">
        <v>58</v>
      </c>
      <c r="D17" s="125" t="s">
        <v>59</v>
      </c>
      <c r="E17" s="125" t="s">
        <v>60</v>
      </c>
      <c r="F17" s="125" t="s">
        <v>12</v>
      </c>
      <c r="G17" s="125" t="s">
        <v>61</v>
      </c>
      <c r="H17" s="125" t="s">
        <v>62</v>
      </c>
      <c r="I17" s="125" t="s">
        <v>131</v>
      </c>
      <c r="J17" s="125" t="s">
        <v>64</v>
      </c>
      <c r="K17" s="125" t="s">
        <v>132</v>
      </c>
      <c r="L17" s="125" t="s">
        <v>133</v>
      </c>
      <c r="M17" s="125" t="s">
        <v>134</v>
      </c>
      <c r="N17" s="125" t="s">
        <v>67</v>
      </c>
      <c r="O17" s="125" t="s">
        <v>68</v>
      </c>
      <c r="P17" s="125" t="s">
        <v>69</v>
      </c>
      <c r="Q17" s="125" t="s">
        <v>70</v>
      </c>
      <c r="R17" s="125" t="s">
        <v>71</v>
      </c>
      <c r="S17" s="125" t="s">
        <v>72</v>
      </c>
    </row>
    <row r="18" spans="1:19" x14ac:dyDescent="0.2">
      <c r="A18" s="126" t="s">
        <v>199</v>
      </c>
      <c r="B18" s="154"/>
      <c r="C18" s="127"/>
      <c r="D18" s="128" t="str">
        <f t="shared" ref="D18:D51" si="0">IF(OR($B18="",$C18=""),"",$B18-$C18)</f>
        <v/>
      </c>
      <c r="E18" s="128" t="str">
        <f t="shared" ref="E18:E51" si="1">IF(COUNT($D16:$D18)&lt;3,"",AVERAGE($D16:$D18))</f>
        <v/>
      </c>
      <c r="F18" s="128"/>
      <c r="G18" s="128">
        <v>0.79100000000000004</v>
      </c>
      <c r="H18" s="128">
        <v>0.73899999999999999</v>
      </c>
      <c r="I18" s="128"/>
      <c r="J18" s="129"/>
      <c r="K18" s="130" t="str">
        <f t="shared" ref="K18:K51" si="2">IF($J18="","",100*(1-$J18))</f>
        <v/>
      </c>
      <c r="L18" s="131"/>
      <c r="M18" s="130" t="str">
        <f t="shared" ref="M18:M51" si="3">IF(OR($J18="",$L18=""),"",$L18-100*$J18)</f>
        <v/>
      </c>
      <c r="N18" s="132"/>
      <c r="O18" s="132"/>
      <c r="P18" s="133" t="str">
        <f t="shared" ref="P18:P51" si="4">IF($E18="","",IF($E18&gt;0.05,"WARM dev3 — spike risk UP",IF($E18&lt;-0.05,"COLD dev3 — spike risk DOWN","")))</f>
        <v/>
      </c>
      <c r="Q18" s="134"/>
      <c r="R18" s="128"/>
      <c r="S18" s="130" t="str">
        <f t="shared" ref="S18:S51" si="5">IF($J18="","",$J18*100)</f>
        <v/>
      </c>
    </row>
    <row r="19" spans="1:19" x14ac:dyDescent="0.2">
      <c r="A19" s="126" t="s">
        <v>200</v>
      </c>
      <c r="B19" s="127"/>
      <c r="C19" s="127"/>
      <c r="D19" s="128" t="str">
        <f t="shared" si="0"/>
        <v/>
      </c>
      <c r="E19" s="128" t="str">
        <f t="shared" si="1"/>
        <v/>
      </c>
      <c r="F19" s="128"/>
      <c r="G19" s="128">
        <v>0.79100000000000004</v>
      </c>
      <c r="H19" s="128">
        <v>0.77900000000000003</v>
      </c>
      <c r="I19" s="128"/>
      <c r="J19" s="129"/>
      <c r="K19" s="130" t="str">
        <f t="shared" si="2"/>
        <v/>
      </c>
      <c r="L19" s="131"/>
      <c r="M19" s="130" t="str">
        <f t="shared" si="3"/>
        <v/>
      </c>
      <c r="N19" s="132"/>
      <c r="O19" s="132"/>
      <c r="P19" s="133" t="str">
        <f t="shared" si="4"/>
        <v/>
      </c>
      <c r="Q19" s="134"/>
      <c r="R19" s="128"/>
      <c r="S19" s="130" t="str">
        <f t="shared" si="5"/>
        <v/>
      </c>
    </row>
    <row r="20" spans="1:19" x14ac:dyDescent="0.2">
      <c r="A20" s="126" t="s">
        <v>201</v>
      </c>
      <c r="B20" s="127"/>
      <c r="C20" s="127"/>
      <c r="D20" s="128" t="str">
        <f t="shared" si="0"/>
        <v/>
      </c>
      <c r="E20" s="128" t="str">
        <f t="shared" si="1"/>
        <v/>
      </c>
      <c r="F20" s="128"/>
      <c r="G20" s="128">
        <v>0.79900000000000004</v>
      </c>
      <c r="H20" s="128">
        <v>0.76100000000000001</v>
      </c>
      <c r="I20" s="128"/>
      <c r="J20" s="129"/>
      <c r="K20" s="130" t="str">
        <f t="shared" si="2"/>
        <v/>
      </c>
      <c r="L20" s="131"/>
      <c r="M20" s="130" t="str">
        <f t="shared" si="3"/>
        <v/>
      </c>
      <c r="N20" s="132"/>
      <c r="O20" s="132"/>
      <c r="P20" s="133" t="str">
        <f t="shared" si="4"/>
        <v/>
      </c>
      <c r="Q20" s="134"/>
      <c r="R20" s="128"/>
      <c r="S20" s="130" t="str">
        <f t="shared" si="5"/>
        <v/>
      </c>
    </row>
    <row r="21" spans="1:19" x14ac:dyDescent="0.2">
      <c r="A21" s="126" t="s">
        <v>202</v>
      </c>
      <c r="B21" s="127"/>
      <c r="C21" s="127"/>
      <c r="D21" s="128" t="str">
        <f t="shared" si="0"/>
        <v/>
      </c>
      <c r="E21" s="128" t="str">
        <f t="shared" si="1"/>
        <v/>
      </c>
      <c r="F21" s="128"/>
      <c r="G21" s="128">
        <v>0.78300000000000003</v>
      </c>
      <c r="H21" s="128">
        <v>0.69899999999999995</v>
      </c>
      <c r="I21" s="128"/>
      <c r="J21" s="129"/>
      <c r="K21" s="130" t="str">
        <f t="shared" si="2"/>
        <v/>
      </c>
      <c r="L21" s="131"/>
      <c r="M21" s="130" t="str">
        <f t="shared" si="3"/>
        <v/>
      </c>
      <c r="N21" s="132"/>
      <c r="O21" s="132"/>
      <c r="P21" s="133" t="str">
        <f t="shared" si="4"/>
        <v/>
      </c>
      <c r="Q21" s="134"/>
      <c r="R21" s="128"/>
      <c r="S21" s="130" t="str">
        <f t="shared" si="5"/>
        <v/>
      </c>
    </row>
    <row r="22" spans="1:19" x14ac:dyDescent="0.2">
      <c r="A22" s="135" t="s">
        <v>206</v>
      </c>
      <c r="B22" s="136"/>
      <c r="C22" s="136"/>
      <c r="D22" s="137" t="str">
        <f t="shared" si="0"/>
        <v/>
      </c>
      <c r="E22" s="137" t="str">
        <f t="shared" si="1"/>
        <v/>
      </c>
      <c r="F22" s="137" t="str">
        <f>IF($B22="","",AVERAGE($B$22:$B22))</f>
        <v/>
      </c>
      <c r="G22" s="137">
        <v>0.78900000000000003</v>
      </c>
      <c r="H22" s="137">
        <v>0.71699999999999997</v>
      </c>
      <c r="I22" s="137"/>
      <c r="J22" s="138" t="str">
        <f>IF($B22="","",1-NORMDIST($D$5,$D$6+$D$7*((SUM($B$22:$B22)+(30-1)*$H$7)/30),$D$11,TRUE))</f>
        <v/>
      </c>
      <c r="K22" s="139" t="str">
        <f t="shared" si="2"/>
        <v/>
      </c>
      <c r="L22" s="140"/>
      <c r="M22" s="139" t="str">
        <f t="shared" si="3"/>
        <v/>
      </c>
      <c r="N22" s="141"/>
      <c r="O22" s="141"/>
      <c r="P22" s="142" t="str">
        <f t="shared" si="4"/>
        <v/>
      </c>
      <c r="Q22" s="143"/>
      <c r="R22" s="137">
        <f t="shared" ref="R22:R51" si="6">$D$9</f>
        <v>0.92666818492370773</v>
      </c>
      <c r="S22" s="139" t="str">
        <f t="shared" si="5"/>
        <v/>
      </c>
    </row>
    <row r="23" spans="1:19" x14ac:dyDescent="0.2">
      <c r="A23" s="135" t="s">
        <v>207</v>
      </c>
      <c r="B23" s="136"/>
      <c r="C23" s="136"/>
      <c r="D23" s="137" t="str">
        <f t="shared" si="0"/>
        <v/>
      </c>
      <c r="E23" s="137" t="str">
        <f t="shared" si="1"/>
        <v/>
      </c>
      <c r="F23" s="137" t="str">
        <f>IF($B23="","",AVERAGE($B$22:$B23))</f>
        <v/>
      </c>
      <c r="G23" s="137">
        <v>0.79549999999999998</v>
      </c>
      <c r="H23" s="137">
        <v>0.72850000000000004</v>
      </c>
      <c r="I23" s="137" t="str">
        <f>IF(OR($B23="",2&gt;=30),"",($D$9*30-SUM($B$22:$B23))/(30-2))</f>
        <v/>
      </c>
      <c r="J23" s="138" t="str">
        <f>IF($B23="","",1-NORMDIST($D$5,$D$6+$D$7*((SUM($B$22:$B23)+(30-2)*$H$7)/30),$D$11,TRUE))</f>
        <v/>
      </c>
      <c r="K23" s="139" t="str">
        <f t="shared" si="2"/>
        <v/>
      </c>
      <c r="L23" s="140"/>
      <c r="M23" s="139" t="str">
        <f t="shared" si="3"/>
        <v/>
      </c>
      <c r="N23" s="141"/>
      <c r="O23" s="141"/>
      <c r="P23" s="142" t="str">
        <f t="shared" si="4"/>
        <v/>
      </c>
      <c r="Q23" s="143"/>
      <c r="R23" s="137">
        <f t="shared" si="6"/>
        <v>0.92666818492370773</v>
      </c>
      <c r="S23" s="139" t="str">
        <f t="shared" si="5"/>
        <v/>
      </c>
    </row>
    <row r="24" spans="1:19" x14ac:dyDescent="0.2">
      <c r="A24" s="135" t="s">
        <v>208</v>
      </c>
      <c r="B24" s="136"/>
      <c r="C24" s="136"/>
      <c r="D24" s="137" t="str">
        <f t="shared" si="0"/>
        <v/>
      </c>
      <c r="E24" s="137" t="str">
        <f t="shared" si="1"/>
        <v/>
      </c>
      <c r="F24" s="137" t="str">
        <f>IF($B24="","",AVERAGE($B$22:$B24))</f>
        <v/>
      </c>
      <c r="G24" s="137">
        <v>0.78600000000000003</v>
      </c>
      <c r="H24" s="137">
        <v>0.71499999999999997</v>
      </c>
      <c r="I24" s="137" t="str">
        <f>IF(OR($B24="",3&gt;=30),"",($D$9*30-SUM($B$22:$B24))/(30-3))</f>
        <v/>
      </c>
      <c r="J24" s="138" t="str">
        <f>IF($B24="","",1-NORMDIST($D$5,$D$6+$D$7*((SUM($B$22:$B24)+(30-3)*$H$7)/30),$D$11,TRUE))</f>
        <v/>
      </c>
      <c r="K24" s="139" t="str">
        <f t="shared" si="2"/>
        <v/>
      </c>
      <c r="L24" s="140"/>
      <c r="M24" s="139" t="str">
        <f t="shared" si="3"/>
        <v/>
      </c>
      <c r="N24" s="141"/>
      <c r="O24" s="141"/>
      <c r="P24" s="142" t="str">
        <f t="shared" si="4"/>
        <v/>
      </c>
      <c r="Q24" s="143"/>
      <c r="R24" s="137">
        <f t="shared" si="6"/>
        <v>0.92666818492370773</v>
      </c>
      <c r="S24" s="139" t="str">
        <f t="shared" si="5"/>
        <v/>
      </c>
    </row>
    <row r="25" spans="1:19" x14ac:dyDescent="0.2">
      <c r="A25" s="135" t="s">
        <v>209</v>
      </c>
      <c r="B25" s="136"/>
      <c r="C25" s="136"/>
      <c r="D25" s="137" t="str">
        <f t="shared" si="0"/>
        <v/>
      </c>
      <c r="E25" s="137" t="str">
        <f t="shared" si="1"/>
        <v/>
      </c>
      <c r="F25" s="137" t="str">
        <f>IF($B25="","",AVERAGE($B$22:$B25))</f>
        <v/>
      </c>
      <c r="G25" s="137">
        <v>0.76549999999999996</v>
      </c>
      <c r="H25" s="137">
        <v>0.70050000000000001</v>
      </c>
      <c r="I25" s="137" t="str">
        <f>IF(OR($B25="",4&gt;=30),"",($D$9*30-SUM($B$22:$B25))/(30-4))</f>
        <v/>
      </c>
      <c r="J25" s="138" t="str">
        <f>IF($B25="","",1-NORMDIST($D$5,$D$6+$D$7*((SUM($B$22:$B25)+(30-4)*$H$7)/30),$D$11,TRUE))</f>
        <v/>
      </c>
      <c r="K25" s="139" t="str">
        <f t="shared" si="2"/>
        <v/>
      </c>
      <c r="L25" s="140"/>
      <c r="M25" s="139" t="str">
        <f t="shared" si="3"/>
        <v/>
      </c>
      <c r="N25" s="141"/>
      <c r="O25" s="141"/>
      <c r="P25" s="142" t="str">
        <f t="shared" si="4"/>
        <v/>
      </c>
      <c r="Q25" s="143"/>
      <c r="R25" s="137">
        <f t="shared" si="6"/>
        <v>0.92666818492370773</v>
      </c>
      <c r="S25" s="139" t="str">
        <f t="shared" si="5"/>
        <v/>
      </c>
    </row>
    <row r="26" spans="1:19" x14ac:dyDescent="0.2">
      <c r="A26" s="135" t="s">
        <v>210</v>
      </c>
      <c r="B26" s="136"/>
      <c r="C26" s="136"/>
      <c r="D26" s="137" t="str">
        <f t="shared" si="0"/>
        <v/>
      </c>
      <c r="E26" s="137" t="str">
        <f t="shared" si="1"/>
        <v/>
      </c>
      <c r="F26" s="137" t="str">
        <f>IF($B26="","",AVERAGE($B$22:$B26))</f>
        <v/>
      </c>
      <c r="G26" s="137">
        <v>0.74399999999999999</v>
      </c>
      <c r="H26" s="137">
        <v>0.69099999999999995</v>
      </c>
      <c r="I26" s="137" t="str">
        <f>IF(OR($B26="",5&gt;=30),"",($D$9*30-SUM($B$22:$B26))/(30-5))</f>
        <v/>
      </c>
      <c r="J26" s="138" t="str">
        <f>IF($B26="","",1-NORMDIST($D$5,$D$6+$D$7*((SUM($B$22:$B26)+(30-5)*$H$7)/30),$D$11,TRUE))</f>
        <v/>
      </c>
      <c r="K26" s="139" t="str">
        <f t="shared" si="2"/>
        <v/>
      </c>
      <c r="L26" s="140"/>
      <c r="M26" s="139" t="str">
        <f t="shared" si="3"/>
        <v/>
      </c>
      <c r="N26" s="141"/>
      <c r="O26" s="141"/>
      <c r="P26" s="142" t="str">
        <f t="shared" si="4"/>
        <v/>
      </c>
      <c r="Q26" s="143"/>
      <c r="R26" s="137">
        <f t="shared" si="6"/>
        <v>0.92666818492370773</v>
      </c>
      <c r="S26" s="139" t="str">
        <f t="shared" si="5"/>
        <v/>
      </c>
    </row>
    <row r="27" spans="1:19" x14ac:dyDescent="0.2">
      <c r="A27" s="135" t="s">
        <v>211</v>
      </c>
      <c r="B27" s="136"/>
      <c r="C27" s="136"/>
      <c r="D27" s="137" t="str">
        <f t="shared" si="0"/>
        <v/>
      </c>
      <c r="E27" s="137" t="str">
        <f t="shared" si="1"/>
        <v/>
      </c>
      <c r="F27" s="137" t="str">
        <f>IF($B27="","",AVERAGE($B$22:$B27))</f>
        <v/>
      </c>
      <c r="G27" s="137">
        <v>0.72899999999999998</v>
      </c>
      <c r="H27" s="137">
        <v>0.69950000000000001</v>
      </c>
      <c r="I27" s="137" t="str">
        <f>IF(OR($B27="",6&gt;=30),"",($D$9*30-SUM($B$22:$B27))/(30-6))</f>
        <v/>
      </c>
      <c r="J27" s="138" t="str">
        <f>IF($B27="","",1-NORMDIST($D$5,$D$6+$D$7*((SUM($B$22:$B27)+(30-6)*$H$7)/30),$D$11,TRUE))</f>
        <v/>
      </c>
      <c r="K27" s="139" t="str">
        <f t="shared" si="2"/>
        <v/>
      </c>
      <c r="L27" s="140"/>
      <c r="M27" s="139" t="str">
        <f t="shared" si="3"/>
        <v/>
      </c>
      <c r="N27" s="141"/>
      <c r="O27" s="141"/>
      <c r="P27" s="142" t="str">
        <f t="shared" si="4"/>
        <v/>
      </c>
      <c r="Q27" s="143"/>
      <c r="R27" s="137">
        <f t="shared" si="6"/>
        <v>0.92666818492370773</v>
      </c>
      <c r="S27" s="139" t="str">
        <f t="shared" si="5"/>
        <v/>
      </c>
    </row>
    <row r="28" spans="1:19" x14ac:dyDescent="0.2">
      <c r="A28" s="135" t="s">
        <v>212</v>
      </c>
      <c r="B28" s="136"/>
      <c r="C28" s="136"/>
      <c r="D28" s="137" t="str">
        <f t="shared" si="0"/>
        <v/>
      </c>
      <c r="E28" s="137" t="str">
        <f t="shared" si="1"/>
        <v/>
      </c>
      <c r="F28" s="137" t="str">
        <f>IF($B28="","",AVERAGE($B$22:$B28))</f>
        <v/>
      </c>
      <c r="G28" s="137">
        <v>0.72829999999999995</v>
      </c>
      <c r="H28" s="137">
        <v>0.70989999999999998</v>
      </c>
      <c r="I28" s="137" t="str">
        <f>IF(OR($B28="",7&gt;=30),"",($D$9*30-SUM($B$22:$B28))/(30-7))</f>
        <v/>
      </c>
      <c r="J28" s="138" t="str">
        <f>IF($B28="","",1-NORMDIST($D$5,$D$6+$D$7*((SUM($B$22:$B28)+(30-7)*$H$7)/30),$D$11,TRUE))</f>
        <v/>
      </c>
      <c r="K28" s="139" t="str">
        <f t="shared" si="2"/>
        <v/>
      </c>
      <c r="L28" s="140"/>
      <c r="M28" s="139" t="str">
        <f t="shared" si="3"/>
        <v/>
      </c>
      <c r="N28" s="141"/>
      <c r="O28" s="141"/>
      <c r="P28" s="142" t="str">
        <f t="shared" si="4"/>
        <v/>
      </c>
      <c r="Q28" s="143"/>
      <c r="R28" s="137">
        <f t="shared" si="6"/>
        <v>0.92666818492370773</v>
      </c>
      <c r="S28" s="139" t="str">
        <f t="shared" si="5"/>
        <v/>
      </c>
    </row>
    <row r="29" spans="1:19" x14ac:dyDescent="0.2">
      <c r="A29" s="135" t="s">
        <v>213</v>
      </c>
      <c r="B29" s="136"/>
      <c r="C29" s="136"/>
      <c r="D29" s="137" t="str">
        <f t="shared" si="0"/>
        <v/>
      </c>
      <c r="E29" s="137" t="str">
        <f t="shared" si="1"/>
        <v/>
      </c>
      <c r="F29" s="153" t="str">
        <f>IF($B29="","",AVERAGE($B$22:$B29))</f>
        <v/>
      </c>
      <c r="G29" s="137">
        <v>0.73109999999999997</v>
      </c>
      <c r="H29" s="137">
        <v>0.71809999999999996</v>
      </c>
      <c r="I29" s="137" t="str">
        <f>IF(OR($B29="",8&gt;=30),"",($D$9*30-SUM($B$22:$B29))/(30-8))</f>
        <v/>
      </c>
      <c r="J29" s="138" t="str">
        <f>IF($B29="","",1-NORMDIST($D$5,$D$6+$D$7*((SUM($B$22:$B29)+(30-8)*$H$7)/30),$D$11,TRUE))</f>
        <v/>
      </c>
      <c r="K29" s="139" t="str">
        <f t="shared" si="2"/>
        <v/>
      </c>
      <c r="L29" s="140"/>
      <c r="M29" s="139" t="str">
        <f t="shared" si="3"/>
        <v/>
      </c>
      <c r="N29" s="141"/>
      <c r="O29" s="141"/>
      <c r="P29" s="142" t="str">
        <f t="shared" si="4"/>
        <v/>
      </c>
      <c r="Q29" s="143"/>
      <c r="R29" s="137">
        <f t="shared" si="6"/>
        <v>0.92666818492370773</v>
      </c>
      <c r="S29" s="139" t="str">
        <f t="shared" si="5"/>
        <v/>
      </c>
    </row>
    <row r="30" spans="1:19" x14ac:dyDescent="0.2">
      <c r="A30" s="135" t="s">
        <v>214</v>
      </c>
      <c r="B30" s="136"/>
      <c r="C30" s="136"/>
      <c r="D30" s="137" t="str">
        <f t="shared" si="0"/>
        <v/>
      </c>
      <c r="E30" s="137" t="str">
        <f t="shared" si="1"/>
        <v/>
      </c>
      <c r="F30" s="152" t="str">
        <f>IF($B30="","",AVERAGE($B$22:$B30))</f>
        <v/>
      </c>
      <c r="G30" s="137">
        <v>0.73319999999999996</v>
      </c>
      <c r="H30" s="137">
        <v>0.73240000000000005</v>
      </c>
      <c r="I30" s="137" t="str">
        <f>IF(OR($B30="",9&gt;=30),"",($D$9*30-SUM($B$22:$B30))/(30-9))</f>
        <v/>
      </c>
      <c r="J30" s="138" t="str">
        <f>IF($B30="","",1-NORMDIST($D$5,$D$6+$D$7*((SUM($B$22:$B30)+(30-9)*$H$7)/30),$D$11,TRUE))</f>
        <v/>
      </c>
      <c r="K30" s="139" t="str">
        <f t="shared" si="2"/>
        <v/>
      </c>
      <c r="L30" s="140"/>
      <c r="M30" s="139" t="str">
        <f t="shared" si="3"/>
        <v/>
      </c>
      <c r="N30" s="141"/>
      <c r="O30" s="141"/>
      <c r="P30" s="142" t="str">
        <f t="shared" si="4"/>
        <v/>
      </c>
      <c r="Q30" s="143"/>
      <c r="R30" s="137">
        <f t="shared" si="6"/>
        <v>0.92666818492370773</v>
      </c>
      <c r="S30" s="139" t="str">
        <f t="shared" si="5"/>
        <v/>
      </c>
    </row>
    <row r="31" spans="1:19" x14ac:dyDescent="0.2">
      <c r="A31" s="135" t="s">
        <v>215</v>
      </c>
      <c r="B31" s="136"/>
      <c r="C31" s="136"/>
      <c r="D31" s="137" t="str">
        <f t="shared" si="0"/>
        <v/>
      </c>
      <c r="E31" s="137" t="str">
        <f t="shared" si="1"/>
        <v/>
      </c>
      <c r="F31" s="137" t="str">
        <f>IF($B31="","",AVERAGE($B$22:$B31))</f>
        <v/>
      </c>
      <c r="G31" s="137">
        <v>0.73629999999999995</v>
      </c>
      <c r="H31" s="137">
        <v>0.75139999999999996</v>
      </c>
      <c r="I31" s="137" t="str">
        <f>IF(OR($B31="",10&gt;=30),"",($D$9*30-SUM($B$22:$B31))/(30-10))</f>
        <v/>
      </c>
      <c r="J31" s="138" t="str">
        <f>IF($B31="","",1-NORMDIST($D$5,$D$6+$D$7*((SUM($B$22:$B31)+(30-10)*$H$7)/30),$D$11,TRUE))</f>
        <v/>
      </c>
      <c r="K31" s="139" t="str">
        <f t="shared" si="2"/>
        <v/>
      </c>
      <c r="L31" s="140"/>
      <c r="M31" s="139" t="str">
        <f t="shared" si="3"/>
        <v/>
      </c>
      <c r="N31" s="141"/>
      <c r="O31" s="141"/>
      <c r="P31" s="142" t="str">
        <f t="shared" si="4"/>
        <v/>
      </c>
      <c r="Q31" s="143"/>
      <c r="R31" s="137">
        <f t="shared" si="6"/>
        <v>0.92666818492370773</v>
      </c>
      <c r="S31" s="139" t="str">
        <f t="shared" si="5"/>
        <v/>
      </c>
    </row>
    <row r="32" spans="1:19" x14ac:dyDescent="0.2">
      <c r="A32" s="135" t="s">
        <v>216</v>
      </c>
      <c r="B32" s="136"/>
      <c r="C32" s="136"/>
      <c r="D32" s="137" t="str">
        <f t="shared" si="0"/>
        <v/>
      </c>
      <c r="E32" s="137" t="str">
        <f t="shared" si="1"/>
        <v/>
      </c>
      <c r="F32" s="137" t="str">
        <f>IF($B32="","",AVERAGE($B$22:$B32))</f>
        <v/>
      </c>
      <c r="G32" s="137">
        <v>0.74070000000000003</v>
      </c>
      <c r="H32" s="137">
        <v>0.77210000000000001</v>
      </c>
      <c r="I32" s="137" t="str">
        <f>IF(OR($B32="",11&gt;=30),"",($D$9*30-SUM($B$22:$B32))/(30-11))</f>
        <v/>
      </c>
      <c r="J32" s="138" t="str">
        <f>IF($B32="","",1-NORMDIST($D$5,$D$6+$D$7*((SUM($B$22:$B32)+(30-11)*$H$7)/30),$D$11,TRUE))</f>
        <v/>
      </c>
      <c r="K32" s="139" t="str">
        <f t="shared" si="2"/>
        <v/>
      </c>
      <c r="L32" s="140"/>
      <c r="M32" s="139" t="str">
        <f t="shared" si="3"/>
        <v/>
      </c>
      <c r="N32" s="141"/>
      <c r="O32" s="141"/>
      <c r="P32" s="142" t="str">
        <f t="shared" si="4"/>
        <v/>
      </c>
      <c r="Q32" s="143"/>
      <c r="R32" s="137">
        <f t="shared" si="6"/>
        <v>0.92666818492370773</v>
      </c>
      <c r="S32" s="139" t="str">
        <f t="shared" si="5"/>
        <v/>
      </c>
    </row>
    <row r="33" spans="1:19" x14ac:dyDescent="0.2">
      <c r="A33" s="135" t="s">
        <v>217</v>
      </c>
      <c r="B33" s="136"/>
      <c r="C33" s="136"/>
      <c r="D33" s="137" t="str">
        <f t="shared" si="0"/>
        <v/>
      </c>
      <c r="E33" s="137" t="str">
        <f t="shared" si="1"/>
        <v/>
      </c>
      <c r="F33" s="137" t="str">
        <f>IF($B33="","",AVERAGE($B$22:$B33))</f>
        <v/>
      </c>
      <c r="G33" s="137">
        <v>0.74180000000000001</v>
      </c>
      <c r="H33" s="137">
        <v>0.78510000000000002</v>
      </c>
      <c r="I33" s="137" t="str">
        <f>IF(OR($B33="",12&gt;=30),"",($D$9*30-SUM($B$22:$B33))/(30-12))</f>
        <v/>
      </c>
      <c r="J33" s="138" t="str">
        <f>IF($B33="","",1-NORMDIST($D$5,$D$6+$D$7*((SUM($B$22:$B33)+(30-12)*$H$7)/30),$D$11,TRUE))</f>
        <v/>
      </c>
      <c r="K33" s="139" t="str">
        <f t="shared" si="2"/>
        <v/>
      </c>
      <c r="L33" s="140"/>
      <c r="M33" s="139" t="str">
        <f t="shared" si="3"/>
        <v/>
      </c>
      <c r="N33" s="141"/>
      <c r="O33" s="141"/>
      <c r="P33" s="142" t="str">
        <f t="shared" si="4"/>
        <v/>
      </c>
      <c r="Q33" s="143"/>
      <c r="R33" s="137">
        <f t="shared" si="6"/>
        <v>0.92666818492370773</v>
      </c>
      <c r="S33" s="139" t="str">
        <f t="shared" si="5"/>
        <v/>
      </c>
    </row>
    <row r="34" spans="1:19" x14ac:dyDescent="0.2">
      <c r="A34" s="135" t="s">
        <v>218</v>
      </c>
      <c r="B34" s="136"/>
      <c r="C34" s="136"/>
      <c r="D34" s="137" t="str">
        <f t="shared" si="0"/>
        <v/>
      </c>
      <c r="E34" s="137" t="str">
        <f t="shared" si="1"/>
        <v/>
      </c>
      <c r="F34" s="137" t="str">
        <f>IF($B34="","",AVERAGE($B$22:$B34))</f>
        <v/>
      </c>
      <c r="G34" s="137">
        <v>0.74250000000000005</v>
      </c>
      <c r="H34" s="137">
        <v>0.79320000000000002</v>
      </c>
      <c r="I34" s="137" t="str">
        <f>IF(OR($B34="",13&gt;=30),"",($D$9*30-SUM($B$22:$B34))/(30-13))</f>
        <v/>
      </c>
      <c r="J34" s="138" t="str">
        <f>IF($B34="","",1-NORMDIST($D$5,$D$6+$D$7*((SUM($B$22:$B34)+(30-13)*$H$7)/30),$D$11,TRUE))</f>
        <v/>
      </c>
      <c r="K34" s="139" t="str">
        <f t="shared" si="2"/>
        <v/>
      </c>
      <c r="L34" s="140"/>
      <c r="M34" s="139" t="str">
        <f t="shared" si="3"/>
        <v/>
      </c>
      <c r="N34" s="141"/>
      <c r="O34" s="141"/>
      <c r="P34" s="142" t="str">
        <f t="shared" si="4"/>
        <v/>
      </c>
      <c r="Q34" s="143"/>
      <c r="R34" s="137">
        <f t="shared" si="6"/>
        <v>0.92666818492370773</v>
      </c>
      <c r="S34" s="139" t="str">
        <f t="shared" si="5"/>
        <v/>
      </c>
    </row>
    <row r="35" spans="1:19" x14ac:dyDescent="0.2">
      <c r="A35" s="135" t="s">
        <v>219</v>
      </c>
      <c r="B35" s="136"/>
      <c r="C35" s="136"/>
      <c r="D35" s="137" t="str">
        <f t="shared" si="0"/>
        <v/>
      </c>
      <c r="E35" s="137" t="str">
        <f t="shared" si="1"/>
        <v/>
      </c>
      <c r="F35" s="137" t="str">
        <f>IF($B35="","",AVERAGE($B$22:$B35))</f>
        <v/>
      </c>
      <c r="G35" s="137">
        <v>0.74019999999999997</v>
      </c>
      <c r="H35" s="137">
        <v>0.80189999999999995</v>
      </c>
      <c r="I35" s="137" t="str">
        <f>IF(OR($B35="",14&gt;=30),"",($D$9*30-SUM($B$22:$B35))/(30-14))</f>
        <v/>
      </c>
      <c r="J35" s="138" t="str">
        <f>IF($B35="","",1-NORMDIST($D$5,$D$6+$D$7*((SUM($B$22:$B35)+(30-14)*$H$7)/30),$D$11,TRUE))</f>
        <v/>
      </c>
      <c r="K35" s="139" t="str">
        <f t="shared" si="2"/>
        <v/>
      </c>
      <c r="L35" s="140"/>
      <c r="M35" s="139" t="str">
        <f t="shared" si="3"/>
        <v/>
      </c>
      <c r="N35" s="141"/>
      <c r="O35" s="141"/>
      <c r="P35" s="142" t="str">
        <f t="shared" si="4"/>
        <v/>
      </c>
      <c r="Q35" s="143"/>
      <c r="R35" s="137">
        <f t="shared" si="6"/>
        <v>0.92666818492370773</v>
      </c>
      <c r="S35" s="139" t="str">
        <f t="shared" si="5"/>
        <v/>
      </c>
    </row>
    <row r="36" spans="1:19" x14ac:dyDescent="0.2">
      <c r="A36" s="135" t="s">
        <v>220</v>
      </c>
      <c r="B36" s="136"/>
      <c r="C36" s="136"/>
      <c r="D36" s="137" t="str">
        <f t="shared" si="0"/>
        <v/>
      </c>
      <c r="E36" s="137" t="str">
        <f t="shared" si="1"/>
        <v/>
      </c>
      <c r="F36" s="137" t="str">
        <f>IF($B36="","",AVERAGE($B$22:$B36))</f>
        <v/>
      </c>
      <c r="G36" s="137">
        <v>0.73440000000000005</v>
      </c>
      <c r="H36" s="137">
        <v>0.81569999999999998</v>
      </c>
      <c r="I36" s="137" t="str">
        <f>IF(OR($B36="",15&gt;=30),"",($D$9*30-SUM($B$22:$B36))/(30-15))</f>
        <v/>
      </c>
      <c r="J36" s="138" t="str">
        <f>IF($B36="","",1-NORMDIST($D$5,$D$6+$D$7*((SUM($B$22:$B36)+(30-15)*$H$7)/30),$D$11,TRUE))</f>
        <v/>
      </c>
      <c r="K36" s="139" t="str">
        <f t="shared" si="2"/>
        <v/>
      </c>
      <c r="L36" s="140"/>
      <c r="M36" s="139" t="str">
        <f t="shared" si="3"/>
        <v/>
      </c>
      <c r="N36" s="141"/>
      <c r="O36" s="141"/>
      <c r="P36" s="142" t="str">
        <f t="shared" si="4"/>
        <v/>
      </c>
      <c r="Q36" s="143"/>
      <c r="R36" s="137">
        <f t="shared" si="6"/>
        <v>0.92666818492370773</v>
      </c>
      <c r="S36" s="139" t="str">
        <f t="shared" si="5"/>
        <v/>
      </c>
    </row>
    <row r="37" spans="1:19" x14ac:dyDescent="0.2">
      <c r="A37" s="135" t="s">
        <v>221</v>
      </c>
      <c r="B37" s="136"/>
      <c r="C37" s="136"/>
      <c r="D37" s="137" t="str">
        <f t="shared" si="0"/>
        <v/>
      </c>
      <c r="E37" s="137" t="str">
        <f t="shared" si="1"/>
        <v/>
      </c>
      <c r="F37" s="137" t="str">
        <f>IF($B37="","",AVERAGE($B$22:$B37))</f>
        <v/>
      </c>
      <c r="G37" s="137">
        <v>0.72709999999999997</v>
      </c>
      <c r="H37" s="137">
        <v>0.83169999999999999</v>
      </c>
      <c r="I37" s="137" t="str">
        <f>IF(OR($B37="",16&gt;=30),"",($D$9*30-SUM($B$22:$B37))/(30-16))</f>
        <v/>
      </c>
      <c r="J37" s="138" t="str">
        <f>IF($B37="","",1-NORMDIST($D$5,$D$6+$D$7*((SUM($B$22:$B37)+(30-16)*$H$7)/30),$D$11,TRUE))</f>
        <v/>
      </c>
      <c r="K37" s="139" t="str">
        <f t="shared" si="2"/>
        <v/>
      </c>
      <c r="L37" s="140"/>
      <c r="M37" s="139" t="str">
        <f t="shared" si="3"/>
        <v/>
      </c>
      <c r="N37" s="141"/>
      <c r="O37" s="141"/>
      <c r="P37" s="142" t="str">
        <f t="shared" si="4"/>
        <v/>
      </c>
      <c r="Q37" s="143"/>
      <c r="R37" s="137">
        <f t="shared" si="6"/>
        <v>0.92666818492370773</v>
      </c>
      <c r="S37" s="139" t="str">
        <f t="shared" si="5"/>
        <v/>
      </c>
    </row>
    <row r="38" spans="1:19" x14ac:dyDescent="0.2">
      <c r="A38" s="135" t="s">
        <v>222</v>
      </c>
      <c r="B38" s="136"/>
      <c r="C38" s="136"/>
      <c r="D38" s="137" t="str">
        <f t="shared" si="0"/>
        <v/>
      </c>
      <c r="E38" s="137" t="str">
        <f t="shared" si="1"/>
        <v/>
      </c>
      <c r="F38" s="137" t="str">
        <f>IF($B38="","",AVERAGE($B$22:$B38))</f>
        <v/>
      </c>
      <c r="G38" s="137">
        <v>0.72089999999999999</v>
      </c>
      <c r="H38" s="137">
        <v>0.8448</v>
      </c>
      <c r="I38" s="137" t="str">
        <f>IF(OR($B38="",17&gt;=30),"",($D$9*30-SUM($B$22:$B38))/(30-17))</f>
        <v/>
      </c>
      <c r="J38" s="138" t="str">
        <f>IF($B38="","",1-NORMDIST($D$5,$D$6+$D$7*((SUM($B$22:$B38)+(30-17)*$H$7)/30),$D$11,TRUE))</f>
        <v/>
      </c>
      <c r="K38" s="139" t="str">
        <f t="shared" si="2"/>
        <v/>
      </c>
      <c r="L38" s="140"/>
      <c r="M38" s="139" t="str">
        <f t="shared" si="3"/>
        <v/>
      </c>
      <c r="N38" s="141"/>
      <c r="O38" s="141"/>
      <c r="P38" s="142" t="str">
        <f t="shared" si="4"/>
        <v/>
      </c>
      <c r="Q38" s="143"/>
      <c r="R38" s="137">
        <f t="shared" si="6"/>
        <v>0.92666818492370773</v>
      </c>
      <c r="S38" s="139" t="str">
        <f t="shared" si="5"/>
        <v/>
      </c>
    </row>
    <row r="39" spans="1:19" x14ac:dyDescent="0.2">
      <c r="A39" s="135" t="s">
        <v>223</v>
      </c>
      <c r="B39" s="136"/>
      <c r="C39" s="136"/>
      <c r="D39" s="137" t="str">
        <f t="shared" si="0"/>
        <v/>
      </c>
      <c r="E39" s="137" t="str">
        <f t="shared" si="1"/>
        <v/>
      </c>
      <c r="F39" s="137" t="str">
        <f>IF($B39="","",AVERAGE($B$22:$B39))</f>
        <v/>
      </c>
      <c r="G39" s="137">
        <v>0.71860000000000002</v>
      </c>
      <c r="H39" s="137">
        <v>0.85350000000000004</v>
      </c>
      <c r="I39" s="137" t="str">
        <f>IF(OR($B39="",18&gt;=30),"",($D$9*30-SUM($B$22:$B39))/(30-18))</f>
        <v/>
      </c>
      <c r="J39" s="138" t="str">
        <f>IF($B39="","",1-NORMDIST($D$5,$D$6+$D$7*((SUM($B$22:$B39)+(30-18)*$H$7)/30),$D$11,TRUE))</f>
        <v/>
      </c>
      <c r="K39" s="139" t="str">
        <f t="shared" si="2"/>
        <v/>
      </c>
      <c r="L39" s="140"/>
      <c r="M39" s="139" t="str">
        <f t="shared" si="3"/>
        <v/>
      </c>
      <c r="N39" s="141"/>
      <c r="O39" s="141"/>
      <c r="P39" s="142" t="str">
        <f t="shared" si="4"/>
        <v/>
      </c>
      <c r="Q39" s="143"/>
      <c r="R39" s="137">
        <f t="shared" si="6"/>
        <v>0.92666818492370773</v>
      </c>
      <c r="S39" s="139" t="str">
        <f t="shared" si="5"/>
        <v/>
      </c>
    </row>
    <row r="40" spans="1:19" x14ac:dyDescent="0.2">
      <c r="A40" s="135" t="s">
        <v>224</v>
      </c>
      <c r="B40" s="136"/>
      <c r="C40" s="136"/>
      <c r="D40" s="137" t="str">
        <f t="shared" si="0"/>
        <v/>
      </c>
      <c r="E40" s="137" t="str">
        <f t="shared" si="1"/>
        <v/>
      </c>
      <c r="F40" s="137" t="str">
        <f>IF($B40="","",AVERAGE($B$22:$B40))</f>
        <v/>
      </c>
      <c r="G40" s="137">
        <v>0.71699999999999997</v>
      </c>
      <c r="H40" s="137">
        <v>0.85960000000000003</v>
      </c>
      <c r="I40" s="137" t="str">
        <f>IF(OR($B40="",19&gt;=30),"",($D$9*30-SUM($B$22:$B40))/(30-19))</f>
        <v/>
      </c>
      <c r="J40" s="138" t="str">
        <f>IF($B40="","",1-NORMDIST($D$5,$D$6+$D$7*((SUM($B$22:$B40)+(30-19)*$H$7)/30),$D$11,TRUE))</f>
        <v/>
      </c>
      <c r="K40" s="139" t="str">
        <f t="shared" si="2"/>
        <v/>
      </c>
      <c r="L40" s="140"/>
      <c r="M40" s="139" t="str">
        <f t="shared" si="3"/>
        <v/>
      </c>
      <c r="N40" s="141"/>
      <c r="O40" s="141"/>
      <c r="P40" s="142" t="str">
        <f t="shared" si="4"/>
        <v/>
      </c>
      <c r="Q40" s="143"/>
      <c r="R40" s="137">
        <f t="shared" si="6"/>
        <v>0.92666818492370773</v>
      </c>
      <c r="S40" s="139" t="str">
        <f t="shared" si="5"/>
        <v/>
      </c>
    </row>
    <row r="41" spans="1:19" x14ac:dyDescent="0.2">
      <c r="A41" s="135" t="s">
        <v>225</v>
      </c>
      <c r="B41" s="136"/>
      <c r="C41" s="136"/>
      <c r="D41" s="137" t="str">
        <f t="shared" si="0"/>
        <v/>
      </c>
      <c r="E41" s="137" t="str">
        <f t="shared" si="1"/>
        <v/>
      </c>
      <c r="F41" s="137" t="str">
        <f>IF($B41="","",AVERAGE($B$22:$B41))</f>
        <v/>
      </c>
      <c r="G41" s="137">
        <v>0.71299999999999997</v>
      </c>
      <c r="H41" s="137">
        <v>0.86580000000000001</v>
      </c>
      <c r="I41" s="137" t="str">
        <f>IF(OR($B41="",20&gt;=30),"",($D$9*30-SUM($B$22:$B41))/(30-20))</f>
        <v/>
      </c>
      <c r="J41" s="138" t="str">
        <f>IF($B41="","",1-NORMDIST($D$5,$D$6+$D$7*((SUM($B$22:$B41)+(30-20)*$H$7)/30),$D$11,TRUE))</f>
        <v/>
      </c>
      <c r="K41" s="139" t="str">
        <f t="shared" si="2"/>
        <v/>
      </c>
      <c r="L41" s="140"/>
      <c r="M41" s="139" t="str">
        <f t="shared" si="3"/>
        <v/>
      </c>
      <c r="N41" s="141"/>
      <c r="O41" s="141"/>
      <c r="P41" s="142" t="str">
        <f t="shared" si="4"/>
        <v/>
      </c>
      <c r="Q41" s="143"/>
      <c r="R41" s="137">
        <f t="shared" si="6"/>
        <v>0.92666818492370773</v>
      </c>
      <c r="S41" s="139" t="str">
        <f t="shared" si="5"/>
        <v/>
      </c>
    </row>
    <row r="42" spans="1:19" x14ac:dyDescent="0.2">
      <c r="A42" s="135" t="s">
        <v>226</v>
      </c>
      <c r="B42" s="136"/>
      <c r="C42" s="136"/>
      <c r="D42" s="137" t="str">
        <f t="shared" si="0"/>
        <v/>
      </c>
      <c r="E42" s="137" t="str">
        <f t="shared" si="1"/>
        <v/>
      </c>
      <c r="F42" s="137" t="str">
        <f>IF($B42="","",AVERAGE($B$22:$B42))</f>
        <v/>
      </c>
      <c r="G42" s="137">
        <v>0.70830000000000004</v>
      </c>
      <c r="H42" s="137">
        <v>0.87439999999999996</v>
      </c>
      <c r="I42" s="137" t="str">
        <f>IF(OR($B42="",21&gt;=30),"",($D$9*30-SUM($B$22:$B42))/(30-21))</f>
        <v/>
      </c>
      <c r="J42" s="138" t="str">
        <f>IF($B42="","",1-NORMDIST($D$5,$D$6+$D$7*((SUM($B$22:$B42)+(30-21)*$H$7)/30),$D$11,TRUE))</f>
        <v/>
      </c>
      <c r="K42" s="139" t="str">
        <f t="shared" si="2"/>
        <v/>
      </c>
      <c r="L42" s="140"/>
      <c r="M42" s="139" t="str">
        <f t="shared" si="3"/>
        <v/>
      </c>
      <c r="N42" s="141"/>
      <c r="O42" s="141"/>
      <c r="P42" s="142" t="str">
        <f t="shared" si="4"/>
        <v/>
      </c>
      <c r="Q42" s="143"/>
      <c r="R42" s="137">
        <f t="shared" si="6"/>
        <v>0.92666818492370773</v>
      </c>
      <c r="S42" s="139" t="str">
        <f t="shared" si="5"/>
        <v/>
      </c>
    </row>
    <row r="43" spans="1:19" x14ac:dyDescent="0.2">
      <c r="A43" s="135" t="s">
        <v>227</v>
      </c>
      <c r="B43" s="136"/>
      <c r="C43" s="136"/>
      <c r="D43" s="137" t="str">
        <f t="shared" si="0"/>
        <v/>
      </c>
      <c r="E43" s="137" t="str">
        <f t="shared" si="1"/>
        <v/>
      </c>
      <c r="F43" s="137" t="str">
        <f>IF($B43="","",AVERAGE($B$22:$B43))</f>
        <v/>
      </c>
      <c r="G43" s="137">
        <v>0.70599999999999996</v>
      </c>
      <c r="H43" s="137">
        <v>0.88449999999999995</v>
      </c>
      <c r="I43" s="137" t="str">
        <f>IF(OR($B43="",22&gt;=30),"",($D$9*30-SUM($B$22:$B43))/(30-22))</f>
        <v/>
      </c>
      <c r="J43" s="138" t="str">
        <f>IF($B43="","",1-NORMDIST($D$5,$D$6+$D$7*((SUM($B$22:$B43)+(30-22)*$H$7)/30),$D$11,TRUE))</f>
        <v/>
      </c>
      <c r="K43" s="139" t="str">
        <f t="shared" si="2"/>
        <v/>
      </c>
      <c r="L43" s="140"/>
      <c r="M43" s="139" t="str">
        <f t="shared" si="3"/>
        <v/>
      </c>
      <c r="N43" s="141"/>
      <c r="O43" s="141"/>
      <c r="P43" s="142" t="str">
        <f t="shared" si="4"/>
        <v/>
      </c>
      <c r="Q43" s="143"/>
      <c r="R43" s="137">
        <f t="shared" si="6"/>
        <v>0.92666818492370773</v>
      </c>
      <c r="S43" s="139" t="str">
        <f t="shared" si="5"/>
        <v/>
      </c>
    </row>
    <row r="44" spans="1:19" x14ac:dyDescent="0.2">
      <c r="A44" s="135" t="s">
        <v>228</v>
      </c>
      <c r="B44" s="136"/>
      <c r="C44" s="136"/>
      <c r="D44" s="137" t="str">
        <f t="shared" si="0"/>
        <v/>
      </c>
      <c r="E44" s="137" t="str">
        <f t="shared" si="1"/>
        <v/>
      </c>
      <c r="F44" s="137" t="str">
        <f>IF($B44="","",AVERAGE($B$22:$B44))</f>
        <v/>
      </c>
      <c r="G44" s="137">
        <v>0.70399999999999996</v>
      </c>
      <c r="H44" s="137">
        <v>0.89370000000000005</v>
      </c>
      <c r="I44" s="137" t="str">
        <f>IF(OR($B44="",23&gt;=30),"",($D$9*30-SUM($B$22:$B44))/(30-23))</f>
        <v/>
      </c>
      <c r="J44" s="138" t="str">
        <f>IF($B44="","",1-NORMDIST($D$5,$D$6+$D$7*((SUM($B$22:$B44)+(30-23)*$H$7)/30),$D$11,TRUE))</f>
        <v/>
      </c>
      <c r="K44" s="139" t="str">
        <f t="shared" si="2"/>
        <v/>
      </c>
      <c r="L44" s="140"/>
      <c r="M44" s="139" t="str">
        <f t="shared" si="3"/>
        <v/>
      </c>
      <c r="N44" s="141"/>
      <c r="O44" s="141"/>
      <c r="P44" s="142" t="str">
        <f t="shared" si="4"/>
        <v/>
      </c>
      <c r="Q44" s="143"/>
      <c r="R44" s="137">
        <f t="shared" si="6"/>
        <v>0.92666818492370773</v>
      </c>
      <c r="S44" s="139" t="str">
        <f t="shared" si="5"/>
        <v/>
      </c>
    </row>
    <row r="45" spans="1:19" x14ac:dyDescent="0.2">
      <c r="A45" s="135" t="s">
        <v>229</v>
      </c>
      <c r="B45" s="136"/>
      <c r="C45" s="136"/>
      <c r="D45" s="137" t="str">
        <f t="shared" si="0"/>
        <v/>
      </c>
      <c r="E45" s="137" t="str">
        <f t="shared" si="1"/>
        <v/>
      </c>
      <c r="F45" s="137" t="str">
        <f>IF($B45="","",AVERAGE($B$22:$B45))</f>
        <v/>
      </c>
      <c r="G45" s="137">
        <v>0.70569999999999999</v>
      </c>
      <c r="H45" s="137">
        <v>0.9022</v>
      </c>
      <c r="I45" s="137" t="str">
        <f>IF(OR($B45="",24&gt;=30),"",($D$9*30-SUM($B$22:$B45))/(30-24))</f>
        <v/>
      </c>
      <c r="J45" s="138" t="str">
        <f>IF($B45="","",1-NORMDIST($D$5,$D$6+$D$7*((SUM($B$22:$B45)+(30-24)*$H$7)/30),$D$11,TRUE))</f>
        <v/>
      </c>
      <c r="K45" s="139" t="str">
        <f t="shared" si="2"/>
        <v/>
      </c>
      <c r="L45" s="140"/>
      <c r="M45" s="139" t="str">
        <f t="shared" si="3"/>
        <v/>
      </c>
      <c r="N45" s="141"/>
      <c r="O45" s="141"/>
      <c r="P45" s="142" t="str">
        <f t="shared" si="4"/>
        <v/>
      </c>
      <c r="Q45" s="143"/>
      <c r="R45" s="137">
        <f t="shared" si="6"/>
        <v>0.92666818492370773</v>
      </c>
      <c r="S45" s="139" t="str">
        <f t="shared" si="5"/>
        <v/>
      </c>
    </row>
    <row r="46" spans="1:19" x14ac:dyDescent="0.2">
      <c r="A46" s="135" t="s">
        <v>230</v>
      </c>
      <c r="B46" s="136"/>
      <c r="C46" s="136"/>
      <c r="D46" s="137" t="str">
        <f t="shared" si="0"/>
        <v/>
      </c>
      <c r="E46" s="137" t="str">
        <f t="shared" si="1"/>
        <v/>
      </c>
      <c r="F46" s="137" t="str">
        <f>IF($B46="","",AVERAGE($B$22:$B46))</f>
        <v/>
      </c>
      <c r="G46" s="137">
        <v>0.70979999999999999</v>
      </c>
      <c r="H46" s="137">
        <v>0.90820000000000001</v>
      </c>
      <c r="I46" s="137" t="str">
        <f>IF(OR($B46="",25&gt;=30),"",($D$9*30-SUM($B$22:$B46))/(30-25))</f>
        <v/>
      </c>
      <c r="J46" s="138" t="str">
        <f>IF($B46="","",1-NORMDIST($D$5,$D$6+$D$7*((SUM($B$22:$B46)+(30-25)*$H$7)/30),$D$11,TRUE))</f>
        <v/>
      </c>
      <c r="K46" s="139" t="str">
        <f t="shared" si="2"/>
        <v/>
      </c>
      <c r="L46" s="140"/>
      <c r="M46" s="139" t="str">
        <f t="shared" si="3"/>
        <v/>
      </c>
      <c r="N46" s="141"/>
      <c r="O46" s="141"/>
      <c r="P46" s="142" t="str">
        <f t="shared" si="4"/>
        <v/>
      </c>
      <c r="Q46" s="143"/>
      <c r="R46" s="137">
        <f t="shared" si="6"/>
        <v>0.92666818492370773</v>
      </c>
      <c r="S46" s="139" t="str">
        <f t="shared" si="5"/>
        <v/>
      </c>
    </row>
    <row r="47" spans="1:19" x14ac:dyDescent="0.2">
      <c r="A47" s="135" t="s">
        <v>231</v>
      </c>
      <c r="B47" s="136"/>
      <c r="C47" s="136"/>
      <c r="D47" s="137" t="str">
        <f t="shared" si="0"/>
        <v/>
      </c>
      <c r="E47" s="137" t="str">
        <f t="shared" si="1"/>
        <v/>
      </c>
      <c r="F47" s="137" t="str">
        <f>IF($B47="","",AVERAGE($B$22:$B47))</f>
        <v/>
      </c>
      <c r="G47" s="137">
        <v>0.71430000000000005</v>
      </c>
      <c r="H47" s="137">
        <v>0.91349999999999998</v>
      </c>
      <c r="I47" s="137" t="str">
        <f>IF(OR($B47="",26&gt;=30),"",($D$9*30-SUM($B$22:$B47))/(30-26))</f>
        <v/>
      </c>
      <c r="J47" s="138" t="str">
        <f>IF($B47="","",1-NORMDIST($D$5,$D$6+$D$7*((SUM($B$22:$B47)+(30-26)*$H$7)/30),$D$11,TRUE))</f>
        <v/>
      </c>
      <c r="K47" s="139" t="str">
        <f t="shared" si="2"/>
        <v/>
      </c>
      <c r="L47" s="140"/>
      <c r="M47" s="139" t="str">
        <f t="shared" si="3"/>
        <v/>
      </c>
      <c r="N47" s="141"/>
      <c r="O47" s="141"/>
      <c r="P47" s="142" t="str">
        <f t="shared" si="4"/>
        <v/>
      </c>
      <c r="Q47" s="143"/>
      <c r="R47" s="137">
        <f t="shared" si="6"/>
        <v>0.92666818492370773</v>
      </c>
      <c r="S47" s="139" t="str">
        <f t="shared" si="5"/>
        <v/>
      </c>
    </row>
    <row r="48" spans="1:19" x14ac:dyDescent="0.2">
      <c r="A48" s="135" t="s">
        <v>232</v>
      </c>
      <c r="B48" s="136"/>
      <c r="C48" s="136"/>
      <c r="D48" s="137" t="str">
        <f t="shared" si="0"/>
        <v/>
      </c>
      <c r="E48" s="137" t="str">
        <f t="shared" si="1"/>
        <v/>
      </c>
      <c r="F48" s="137" t="str">
        <f>IF($B48="","",AVERAGE($B$22:$B48))</f>
        <v/>
      </c>
      <c r="G48" s="137">
        <v>0.71830000000000005</v>
      </c>
      <c r="H48" s="137">
        <v>0.91769999999999996</v>
      </c>
      <c r="I48" s="137" t="str">
        <f>IF(OR($B48="",27&gt;=30),"",($D$9*30-SUM($B$22:$B48))/(30-27))</f>
        <v/>
      </c>
      <c r="J48" s="138" t="str">
        <f>IF($B48="","",1-NORMDIST($D$5,$D$6+$D$7*((SUM($B$22:$B48)+(30-27)*$H$7)/30),$D$11,TRUE))</f>
        <v/>
      </c>
      <c r="K48" s="139" t="str">
        <f t="shared" si="2"/>
        <v/>
      </c>
      <c r="L48" s="140"/>
      <c r="M48" s="139" t="str">
        <f t="shared" si="3"/>
        <v/>
      </c>
      <c r="N48" s="141"/>
      <c r="O48" s="141"/>
      <c r="P48" s="142" t="str">
        <f t="shared" si="4"/>
        <v/>
      </c>
      <c r="Q48" s="143"/>
      <c r="R48" s="137">
        <f t="shared" si="6"/>
        <v>0.92666818492370773</v>
      </c>
      <c r="S48" s="139" t="str">
        <f t="shared" si="5"/>
        <v/>
      </c>
    </row>
    <row r="49" spans="1:19" x14ac:dyDescent="0.2">
      <c r="A49" s="135" t="s">
        <v>233</v>
      </c>
      <c r="B49" s="136"/>
      <c r="C49" s="136"/>
      <c r="D49" s="137" t="str">
        <f t="shared" si="0"/>
        <v/>
      </c>
      <c r="E49" s="137" t="str">
        <f t="shared" si="1"/>
        <v/>
      </c>
      <c r="F49" s="137" t="str">
        <f>IF($B49="","",AVERAGE($B$22:$B49))</f>
        <v/>
      </c>
      <c r="G49" s="137">
        <v>0.72109999999999996</v>
      </c>
      <c r="H49" s="137">
        <v>0.92169999999999996</v>
      </c>
      <c r="I49" s="137" t="str">
        <f>IF(OR($B49="",28&gt;=30),"",($D$9*30-SUM($B$22:$B49))/(30-28))</f>
        <v/>
      </c>
      <c r="J49" s="138" t="str">
        <f>IF($B49="","",1-NORMDIST($D$5,$D$6+$D$7*((SUM($B$22:$B49)+(30-28)*$H$7)/30),$D$11,TRUE))</f>
        <v/>
      </c>
      <c r="K49" s="139" t="str">
        <f t="shared" si="2"/>
        <v/>
      </c>
      <c r="L49" s="140"/>
      <c r="M49" s="139" t="str">
        <f t="shared" si="3"/>
        <v/>
      </c>
      <c r="N49" s="141"/>
      <c r="O49" s="141"/>
      <c r="P49" s="142" t="str">
        <f t="shared" si="4"/>
        <v/>
      </c>
      <c r="Q49" s="143"/>
      <c r="R49" s="137">
        <f t="shared" si="6"/>
        <v>0.92666818492370773</v>
      </c>
      <c r="S49" s="139" t="str">
        <f t="shared" si="5"/>
        <v/>
      </c>
    </row>
    <row r="50" spans="1:19" x14ac:dyDescent="0.2">
      <c r="A50" s="135" t="s">
        <v>234</v>
      </c>
      <c r="B50" s="136"/>
      <c r="C50" s="136"/>
      <c r="D50" s="137" t="str">
        <f t="shared" si="0"/>
        <v/>
      </c>
      <c r="E50" s="137" t="str">
        <f t="shared" si="1"/>
        <v/>
      </c>
      <c r="F50" s="137" t="str">
        <f>IF($B50="","",AVERAGE($B$22:$B50))</f>
        <v/>
      </c>
      <c r="G50" s="137">
        <v>0.72289999999999999</v>
      </c>
      <c r="H50" s="137">
        <v>0.92459999999999998</v>
      </c>
      <c r="I50" s="137" t="str">
        <f>IF(OR($B50="",29&gt;=30),"",($D$9*30-SUM($B$22:$B50))/(30-29))</f>
        <v/>
      </c>
      <c r="J50" s="138" t="str">
        <f>IF($B50="","",1-NORMDIST($D$5,$D$6+$D$7*((SUM($B$22:$B50)+(30-29)*$H$7)/30),$D$11,TRUE))</f>
        <v/>
      </c>
      <c r="K50" s="139" t="str">
        <f t="shared" si="2"/>
        <v/>
      </c>
      <c r="L50" s="140"/>
      <c r="M50" s="139" t="str">
        <f t="shared" si="3"/>
        <v/>
      </c>
      <c r="N50" s="141"/>
      <c r="O50" s="141"/>
      <c r="P50" s="142" t="str">
        <f t="shared" si="4"/>
        <v/>
      </c>
      <c r="Q50" s="143"/>
      <c r="R50" s="137">
        <f t="shared" si="6"/>
        <v>0.92666818492370773</v>
      </c>
      <c r="S50" s="139" t="str">
        <f t="shared" si="5"/>
        <v/>
      </c>
    </row>
    <row r="51" spans="1:19" x14ac:dyDescent="0.2">
      <c r="A51" s="135" t="s">
        <v>235</v>
      </c>
      <c r="B51" s="136"/>
      <c r="C51" s="136"/>
      <c r="D51" s="137" t="str">
        <f t="shared" si="0"/>
        <v/>
      </c>
      <c r="E51" s="137" t="str">
        <f t="shared" si="1"/>
        <v/>
      </c>
      <c r="F51" s="137" t="str">
        <f>IF($B51="","",AVERAGE($B$22:$B51))</f>
        <v/>
      </c>
      <c r="G51" s="137">
        <v>0.72370000000000001</v>
      </c>
      <c r="H51" s="137">
        <v>0.92630000000000001</v>
      </c>
      <c r="I51" s="137" t="str">
        <f>IF(OR($B51="",30&gt;=30),"",($D$9*30-SUM($B$22:$B51))/(30-30))</f>
        <v/>
      </c>
      <c r="J51" s="138" t="str">
        <f>IF($B51="","",1-NORMDIST($D$5,$D$6+$D$7*((SUM($B$22:$B51)+(30-30)*$H$7)/30),$D$11,TRUE))</f>
        <v/>
      </c>
      <c r="K51" s="139" t="str">
        <f t="shared" si="2"/>
        <v/>
      </c>
      <c r="L51" s="140"/>
      <c r="M51" s="139" t="str">
        <f t="shared" si="3"/>
        <v/>
      </c>
      <c r="N51" s="141"/>
      <c r="O51" s="141"/>
      <c r="P51" s="142" t="str">
        <f t="shared" si="4"/>
        <v/>
      </c>
      <c r="Q51" s="143"/>
      <c r="R51" s="137">
        <f t="shared" si="6"/>
        <v>0.92666818492370773</v>
      </c>
      <c r="S51" s="139" t="str">
        <f t="shared" si="5"/>
        <v/>
      </c>
    </row>
    <row r="52" spans="1:19" x14ac:dyDescent="0.2">
      <c r="A52" s="144" t="s">
        <v>107</v>
      </c>
      <c r="B52" s="145" t="str">
        <f t="shared" ref="B52:H52" si="7">IFERROR(AVERAGE(B22:B51),"")</f>
        <v/>
      </c>
      <c r="C52" s="145" t="str">
        <f t="shared" si="7"/>
        <v/>
      </c>
      <c r="D52" s="145" t="str">
        <f t="shared" si="7"/>
        <v/>
      </c>
      <c r="E52" s="145" t="str">
        <f t="shared" si="7"/>
        <v/>
      </c>
      <c r="F52" s="145" t="str">
        <f t="shared" si="7"/>
        <v/>
      </c>
      <c r="G52" s="145">
        <f t="shared" si="7"/>
        <v>0.73227333333333344</v>
      </c>
      <c r="H52" s="145">
        <f t="shared" si="7"/>
        <v>0.81511666666666682</v>
      </c>
      <c r="I52" s="146"/>
      <c r="J52" s="147" t="str">
        <f>IFERROR(AVERAGE(J22:J51),"")</f>
        <v/>
      </c>
      <c r="K52" s="148" t="str">
        <f>IFERROR(AVERAGE(K22:K51),"")</f>
        <v/>
      </c>
      <c r="L52" s="148" t="str">
        <f>IFERROR(AVERAGE(L18:L51),"")</f>
        <v/>
      </c>
      <c r="M52" s="148" t="str">
        <f>IFERROR(AVERAGE(M18:M51),"")</f>
        <v/>
      </c>
      <c r="N52" s="148" t="str">
        <f>IFERROR(AVERAGE(N18:N51),"")</f>
        <v/>
      </c>
      <c r="O52" s="148" t="str">
        <f>IFERROR(AVERAGE(O18:O51),"")</f>
        <v/>
      </c>
      <c r="P52" s="146"/>
      <c r="Q52" s="146"/>
      <c r="R52" s="146"/>
      <c r="S52" s="146"/>
    </row>
    <row r="54" spans="1:19" x14ac:dyDescent="0.2">
      <c r="A54" s="182" t="s">
        <v>236</v>
      </c>
      <c r="B54" s="179"/>
      <c r="C54" s="179"/>
      <c r="E54" s="182" t="s">
        <v>109</v>
      </c>
      <c r="F54" s="179"/>
      <c r="H54" s="182" t="s">
        <v>110</v>
      </c>
      <c r="I54" s="179"/>
      <c r="J54" s="179"/>
      <c r="K54" s="179"/>
      <c r="L54" s="179"/>
    </row>
    <row r="55" spans="1:19" x14ac:dyDescent="0.2">
      <c r="A55" s="149" t="s">
        <v>111</v>
      </c>
      <c r="B55" s="149" t="s">
        <v>112</v>
      </c>
      <c r="C55" s="149" t="s">
        <v>118</v>
      </c>
      <c r="E55" s="149" t="s">
        <v>114</v>
      </c>
      <c r="F55" s="149" t="s">
        <v>115</v>
      </c>
      <c r="H55" s="149" t="s">
        <v>116</v>
      </c>
      <c r="I55" s="149" t="s">
        <v>117</v>
      </c>
      <c r="J55" s="149" t="s">
        <v>118</v>
      </c>
      <c r="K55" s="149" t="s">
        <v>119</v>
      </c>
      <c r="L55" s="149" t="s">
        <v>120</v>
      </c>
    </row>
    <row r="56" spans="1:19" x14ac:dyDescent="0.2">
      <c r="A56" s="104">
        <v>1990</v>
      </c>
      <c r="B56" s="45">
        <v>-0.2346</v>
      </c>
      <c r="C56" s="46">
        <v>0.31</v>
      </c>
      <c r="E56" s="104">
        <v>0</v>
      </c>
      <c r="F56" s="47">
        <v>9.2799999999999994E-2</v>
      </c>
      <c r="H56" t="s">
        <v>121</v>
      </c>
      <c r="I56">
        <v>0.50960000000000005</v>
      </c>
      <c r="J56">
        <v>1.1000000000000001</v>
      </c>
      <c r="K56">
        <v>1.0963000000000001</v>
      </c>
      <c r="L56">
        <v>3.7000000000000002E-3</v>
      </c>
    </row>
    <row r="57" spans="1:19" x14ac:dyDescent="0.2">
      <c r="A57" s="104">
        <v>1991</v>
      </c>
      <c r="B57" s="45">
        <v>-0.20580000000000001</v>
      </c>
      <c r="C57" s="46">
        <v>0.42</v>
      </c>
      <c r="E57" s="104">
        <v>1</v>
      </c>
      <c r="F57" s="47">
        <v>8.1699999999999995E-2</v>
      </c>
      <c r="H57" t="s">
        <v>122</v>
      </c>
      <c r="I57">
        <v>0.53610000000000002</v>
      </c>
      <c r="J57">
        <v>1.18</v>
      </c>
      <c r="K57">
        <v>1.1486000000000001</v>
      </c>
      <c r="L57">
        <v>3.1399999999999997E-2</v>
      </c>
    </row>
    <row r="58" spans="1:19" x14ac:dyDescent="0.2">
      <c r="A58" s="104">
        <v>1992</v>
      </c>
      <c r="B58" s="45">
        <v>-0.61309999999999998</v>
      </c>
      <c r="C58" s="46">
        <v>0.04</v>
      </c>
      <c r="E58" s="104">
        <v>2</v>
      </c>
      <c r="F58" s="47">
        <v>8.0399999999999999E-2</v>
      </c>
      <c r="H58" t="s">
        <v>123</v>
      </c>
      <c r="I58">
        <v>0.53400000000000003</v>
      </c>
      <c r="J58">
        <v>1.23</v>
      </c>
      <c r="K58">
        <v>1.1708000000000001</v>
      </c>
      <c r="L58">
        <v>5.9200000000000003E-2</v>
      </c>
    </row>
    <row r="59" spans="1:19" x14ac:dyDescent="0.2">
      <c r="A59" s="104">
        <v>1993</v>
      </c>
      <c r="B59" s="45">
        <v>-0.52059999999999995</v>
      </c>
      <c r="C59" s="46">
        <v>0.18</v>
      </c>
      <c r="E59" s="104">
        <v>3</v>
      </c>
      <c r="F59" s="47">
        <v>8.0100000000000005E-2</v>
      </c>
      <c r="H59" t="s">
        <v>124</v>
      </c>
      <c r="I59">
        <v>0.5232</v>
      </c>
      <c r="J59">
        <v>1.1499999999999999</v>
      </c>
      <c r="K59">
        <v>1.1160000000000001</v>
      </c>
      <c r="L59">
        <v>3.4000000000000002E-2</v>
      </c>
    </row>
    <row r="60" spans="1:19" x14ac:dyDescent="0.2">
      <c r="A60" s="104">
        <v>1994</v>
      </c>
      <c r="B60" s="45">
        <v>-0.24279999999999999</v>
      </c>
      <c r="C60" s="46">
        <v>0.35</v>
      </c>
      <c r="E60" s="104">
        <v>4</v>
      </c>
      <c r="F60" s="47">
        <v>7.9200000000000007E-2</v>
      </c>
      <c r="H60" t="s">
        <v>125</v>
      </c>
      <c r="I60">
        <v>0.54549999999999998</v>
      </c>
      <c r="J60">
        <v>1.08</v>
      </c>
      <c r="K60">
        <v>1.0698000000000001</v>
      </c>
      <c r="L60">
        <v>1.0200000000000001E-2</v>
      </c>
    </row>
    <row r="61" spans="1:19" x14ac:dyDescent="0.2">
      <c r="A61" s="104">
        <v>1995</v>
      </c>
      <c r="B61" s="45">
        <v>-0.2046</v>
      </c>
      <c r="C61" s="46">
        <v>0.4</v>
      </c>
      <c r="E61" s="104">
        <v>5</v>
      </c>
      <c r="F61" s="47">
        <v>7.7799999999999994E-2</v>
      </c>
      <c r="H61" t="s">
        <v>126</v>
      </c>
      <c r="I61">
        <v>0.55930000000000002</v>
      </c>
      <c r="J61">
        <v>1.0900000000000001</v>
      </c>
      <c r="K61">
        <v>1.0941000000000001</v>
      </c>
      <c r="L61">
        <v>-4.1000000000000003E-3</v>
      </c>
    </row>
    <row r="62" spans="1:19" x14ac:dyDescent="0.2">
      <c r="A62" s="104">
        <v>1996</v>
      </c>
      <c r="B62" s="45">
        <v>-0.33169999999999999</v>
      </c>
      <c r="C62" s="46">
        <v>0.28999999999999998</v>
      </c>
      <c r="E62" s="104">
        <v>6</v>
      </c>
      <c r="F62" s="47">
        <v>7.5499999999999998E-2</v>
      </c>
      <c r="H62" s="150" t="s">
        <v>107</v>
      </c>
      <c r="L62" s="48">
        <f>AVERAGE(L56:L61)</f>
        <v>2.2400000000000003E-2</v>
      </c>
    </row>
    <row r="63" spans="1:19" x14ac:dyDescent="0.2">
      <c r="A63" s="104">
        <v>1997</v>
      </c>
      <c r="B63" s="45">
        <v>-6.8599999999999994E-2</v>
      </c>
      <c r="C63" s="46">
        <v>0.6</v>
      </c>
      <c r="E63" s="104">
        <v>7</v>
      </c>
      <c r="F63" s="47">
        <v>7.3899999999999993E-2</v>
      </c>
    </row>
    <row r="64" spans="1:19" x14ac:dyDescent="0.2">
      <c r="A64" s="104">
        <v>1998</v>
      </c>
      <c r="B64" s="45">
        <v>-5.67E-2</v>
      </c>
      <c r="C64" s="46">
        <v>0.49</v>
      </c>
      <c r="E64" s="104">
        <v>8</v>
      </c>
      <c r="F64" s="47">
        <v>7.2400000000000006E-2</v>
      </c>
    </row>
    <row r="65" spans="1:6" x14ac:dyDescent="0.2">
      <c r="A65" s="104">
        <v>1999</v>
      </c>
      <c r="B65" s="45">
        <v>-0.2046</v>
      </c>
      <c r="C65" s="46">
        <v>0.44</v>
      </c>
      <c r="E65" s="104">
        <v>9</v>
      </c>
      <c r="F65" s="47">
        <v>7.0999999999999994E-2</v>
      </c>
    </row>
    <row r="66" spans="1:6" x14ac:dyDescent="0.2">
      <c r="A66" s="104">
        <v>2000</v>
      </c>
      <c r="B66" s="45">
        <v>-0.24279999999999999</v>
      </c>
      <c r="C66" s="46">
        <v>0.45</v>
      </c>
      <c r="E66" s="104">
        <v>10</v>
      </c>
      <c r="F66" s="47">
        <v>6.9800000000000001E-2</v>
      </c>
    </row>
    <row r="67" spans="1:6" x14ac:dyDescent="0.2">
      <c r="A67" s="104">
        <v>2001</v>
      </c>
      <c r="B67" s="45">
        <v>-8.2199999999999995E-2</v>
      </c>
      <c r="C67" s="46">
        <v>0.54</v>
      </c>
      <c r="E67" s="104">
        <v>11</v>
      </c>
      <c r="F67" s="47">
        <v>6.8199999999999997E-2</v>
      </c>
    </row>
    <row r="68" spans="1:6" x14ac:dyDescent="0.2">
      <c r="A68" s="104">
        <v>2002</v>
      </c>
      <c r="B68" s="45">
        <v>1.1999999999999999E-3</v>
      </c>
      <c r="C68" s="46">
        <v>0.56000000000000005</v>
      </c>
      <c r="E68" s="104">
        <v>12</v>
      </c>
      <c r="F68" s="47">
        <v>6.6299999999999998E-2</v>
      </c>
    </row>
    <row r="69" spans="1:6" x14ac:dyDescent="0.2">
      <c r="A69" s="104">
        <v>2003</v>
      </c>
      <c r="B69" s="45">
        <v>6.9699999999999998E-2</v>
      </c>
      <c r="C69" s="46">
        <v>0.65</v>
      </c>
      <c r="E69" s="104">
        <v>13</v>
      </c>
      <c r="F69" s="47">
        <v>6.4199999999999993E-2</v>
      </c>
    </row>
    <row r="70" spans="1:6" x14ac:dyDescent="0.2">
      <c r="A70" s="104">
        <v>2004</v>
      </c>
      <c r="B70" s="45">
        <v>-4.3999999999999997E-2</v>
      </c>
      <c r="C70" s="46">
        <v>0.53</v>
      </c>
      <c r="E70" s="104">
        <v>14</v>
      </c>
      <c r="F70" s="47">
        <v>6.1400000000000003E-2</v>
      </c>
    </row>
    <row r="71" spans="1:6" x14ac:dyDescent="0.2">
      <c r="A71" s="104">
        <v>2005</v>
      </c>
      <c r="B71" s="45">
        <v>0.12559999999999999</v>
      </c>
      <c r="C71" s="46">
        <v>0.68</v>
      </c>
      <c r="E71" s="104">
        <v>15</v>
      </c>
      <c r="F71" s="47">
        <v>5.8099999999999999E-2</v>
      </c>
    </row>
    <row r="72" spans="1:6" x14ac:dyDescent="0.2">
      <c r="A72" s="104">
        <v>2006</v>
      </c>
      <c r="B72" s="45">
        <v>4.4200000000000003E-2</v>
      </c>
      <c r="C72" s="46">
        <v>0.64</v>
      </c>
      <c r="E72" s="104">
        <v>16</v>
      </c>
      <c r="F72" s="47">
        <v>5.4100000000000002E-2</v>
      </c>
    </row>
    <row r="73" spans="1:6" x14ac:dyDescent="0.2">
      <c r="A73" s="104">
        <v>2007</v>
      </c>
      <c r="B73" s="45">
        <v>-9.3899999999999997E-2</v>
      </c>
      <c r="C73" s="46">
        <v>0.59</v>
      </c>
      <c r="E73" s="104">
        <v>17</v>
      </c>
      <c r="F73" s="47">
        <v>4.99E-2</v>
      </c>
    </row>
    <row r="74" spans="1:6" x14ac:dyDescent="0.2">
      <c r="A74" s="104">
        <v>2008</v>
      </c>
      <c r="B74" s="45">
        <v>-3.4000000000000002E-2</v>
      </c>
      <c r="C74" s="46">
        <v>0.59</v>
      </c>
      <c r="E74" s="104">
        <v>18</v>
      </c>
      <c r="F74" s="47">
        <v>4.5999999999999999E-2</v>
      </c>
    </row>
    <row r="75" spans="1:6" x14ac:dyDescent="0.2">
      <c r="A75" s="104">
        <v>2009</v>
      </c>
      <c r="B75" s="45">
        <v>9.9699999999999997E-2</v>
      </c>
      <c r="C75" s="46">
        <v>0.74</v>
      </c>
      <c r="E75" s="104">
        <v>19</v>
      </c>
      <c r="F75" s="47">
        <v>4.2299999999999997E-2</v>
      </c>
    </row>
    <row r="76" spans="1:6" x14ac:dyDescent="0.2">
      <c r="A76" s="104">
        <v>2010</v>
      </c>
      <c r="B76" s="45">
        <v>9.4899999999999998E-2</v>
      </c>
      <c r="C76" s="46">
        <v>0.63</v>
      </c>
      <c r="E76" s="104">
        <v>20</v>
      </c>
      <c r="F76" s="47">
        <v>3.8699999999999998E-2</v>
      </c>
    </row>
    <row r="77" spans="1:6" x14ac:dyDescent="0.2">
      <c r="A77" s="104">
        <v>2011</v>
      </c>
      <c r="B77" s="45">
        <v>4.3299999999999998E-2</v>
      </c>
      <c r="C77" s="46">
        <v>0.61</v>
      </c>
      <c r="E77" s="104">
        <v>21</v>
      </c>
      <c r="F77" s="47">
        <v>3.5000000000000003E-2</v>
      </c>
    </row>
    <row r="78" spans="1:6" x14ac:dyDescent="0.2">
      <c r="A78" s="104">
        <v>2012</v>
      </c>
      <c r="B78" s="45">
        <v>0.10879999999999999</v>
      </c>
      <c r="C78" s="46">
        <v>0.72</v>
      </c>
      <c r="E78" s="104">
        <v>22</v>
      </c>
      <c r="F78" s="47">
        <v>3.1199999999999999E-2</v>
      </c>
    </row>
    <row r="79" spans="1:6" x14ac:dyDescent="0.2">
      <c r="A79" s="104">
        <v>2013</v>
      </c>
      <c r="B79" s="45">
        <v>0.16569999999999999</v>
      </c>
      <c r="C79" s="46">
        <v>0.75</v>
      </c>
      <c r="E79" s="104">
        <v>23</v>
      </c>
      <c r="F79" s="47">
        <v>2.75E-2</v>
      </c>
    </row>
    <row r="80" spans="1:6" x14ac:dyDescent="0.2">
      <c r="A80" s="104">
        <v>2014</v>
      </c>
      <c r="B80" s="45">
        <v>0.18029999999999999</v>
      </c>
      <c r="C80" s="46">
        <v>0.8</v>
      </c>
      <c r="E80" s="104">
        <v>24</v>
      </c>
      <c r="F80" s="47">
        <v>2.41E-2</v>
      </c>
    </row>
    <row r="81" spans="1:6" x14ac:dyDescent="0.2">
      <c r="A81" s="104">
        <v>2015</v>
      </c>
      <c r="B81" s="45">
        <v>0.26279999999999998</v>
      </c>
      <c r="C81" s="46">
        <v>0.9</v>
      </c>
      <c r="E81" s="104">
        <v>25</v>
      </c>
      <c r="F81" s="47">
        <v>2.0400000000000001E-2</v>
      </c>
    </row>
    <row r="82" spans="1:6" x14ac:dyDescent="0.2">
      <c r="A82" s="104">
        <v>2016</v>
      </c>
      <c r="B82" s="45">
        <v>0.35360000000000003</v>
      </c>
      <c r="C82" s="46">
        <v>0.93</v>
      </c>
      <c r="E82" s="104">
        <v>26</v>
      </c>
      <c r="F82" s="47">
        <v>1.6199999999999999E-2</v>
      </c>
    </row>
    <row r="83" spans="1:6" x14ac:dyDescent="0.2">
      <c r="A83" s="104">
        <v>2017</v>
      </c>
      <c r="B83" s="45">
        <v>0.27550000000000002</v>
      </c>
      <c r="C83" s="46">
        <v>0.86</v>
      </c>
      <c r="E83" s="104">
        <v>27</v>
      </c>
      <c r="F83" s="47">
        <v>1.18E-2</v>
      </c>
    </row>
    <row r="84" spans="1:6" x14ac:dyDescent="0.2">
      <c r="A84" s="104">
        <v>2018</v>
      </c>
      <c r="B84" s="45">
        <v>0.19539999999999999</v>
      </c>
      <c r="C84" s="46">
        <v>0.81</v>
      </c>
      <c r="E84" s="104">
        <v>28</v>
      </c>
      <c r="F84" s="47">
        <v>7.7000000000000002E-3</v>
      </c>
    </row>
    <row r="85" spans="1:6" x14ac:dyDescent="0.2">
      <c r="A85" s="104">
        <v>2019</v>
      </c>
      <c r="B85" s="45">
        <v>0.37469999999999998</v>
      </c>
      <c r="C85" s="46">
        <v>0.95</v>
      </c>
      <c r="E85" s="104">
        <v>29</v>
      </c>
      <c r="F85" s="47">
        <v>3.7000000000000002E-3</v>
      </c>
    </row>
    <row r="86" spans="1:6" x14ac:dyDescent="0.2">
      <c r="A86" s="104">
        <v>2020</v>
      </c>
      <c r="B86" s="45">
        <v>0.42949999999999999</v>
      </c>
      <c r="C86" s="46">
        <v>0.99</v>
      </c>
      <c r="E86" s="104">
        <v>30</v>
      </c>
      <c r="F86" s="47">
        <v>0</v>
      </c>
    </row>
    <row r="87" spans="1:6" x14ac:dyDescent="0.2">
      <c r="A87" s="104">
        <v>2021</v>
      </c>
      <c r="B87" s="45">
        <v>0.39739999999999998</v>
      </c>
      <c r="C87" s="46">
        <v>0.93</v>
      </c>
    </row>
    <row r="88" spans="1:6" x14ac:dyDescent="0.2">
      <c r="A88" s="104">
        <v>2022</v>
      </c>
      <c r="B88" s="45">
        <v>0.34539999999999998</v>
      </c>
      <c r="C88" s="46">
        <v>0.87</v>
      </c>
    </row>
    <row r="89" spans="1:6" x14ac:dyDescent="0.2">
      <c r="A89" s="104">
        <v>2023</v>
      </c>
      <c r="B89" s="45">
        <v>0.92630000000000001</v>
      </c>
      <c r="C89" s="46">
        <v>1.41</v>
      </c>
    </row>
    <row r="90" spans="1:6" x14ac:dyDescent="0.2">
      <c r="A90" s="104">
        <v>2024</v>
      </c>
      <c r="B90" s="45">
        <v>0.72370000000000001</v>
      </c>
      <c r="C90" s="46">
        <v>1.22</v>
      </c>
    </row>
    <row r="91" spans="1:6" x14ac:dyDescent="0.2">
      <c r="A91" s="104">
        <v>2025</v>
      </c>
      <c r="B91" s="45">
        <v>0.65820000000000001</v>
      </c>
      <c r="C91" s="46">
        <v>1.1399999999999999</v>
      </c>
    </row>
  </sheetData>
  <mergeCells count="57">
    <mergeCell ref="M3:Q3"/>
    <mergeCell ref="E10:G10"/>
    <mergeCell ref="E13:G13"/>
    <mergeCell ref="M8:P8"/>
    <mergeCell ref="H54:L54"/>
    <mergeCell ref="E9:G9"/>
    <mergeCell ref="I12:K12"/>
    <mergeCell ref="I15:K15"/>
    <mergeCell ref="M15:P15"/>
    <mergeCell ref="M5:P5"/>
    <mergeCell ref="A12:C12"/>
    <mergeCell ref="M14:P14"/>
    <mergeCell ref="E15:G15"/>
    <mergeCell ref="A1:Q1"/>
    <mergeCell ref="E6:G6"/>
    <mergeCell ref="A13:C13"/>
    <mergeCell ref="I10:K10"/>
    <mergeCell ref="I13:K13"/>
    <mergeCell ref="I9:K9"/>
    <mergeCell ref="A2:Q2"/>
    <mergeCell ref="A9:C9"/>
    <mergeCell ref="E12:G12"/>
    <mergeCell ref="M11:P11"/>
    <mergeCell ref="A15:C15"/>
    <mergeCell ref="M10:P10"/>
    <mergeCell ref="E54:F54"/>
    <mergeCell ref="E14:G14"/>
    <mergeCell ref="A54:C54"/>
    <mergeCell ref="M4:P4"/>
    <mergeCell ref="E11:G11"/>
    <mergeCell ref="A5:C5"/>
    <mergeCell ref="I14:K14"/>
    <mergeCell ref="A8:C8"/>
    <mergeCell ref="A14:C14"/>
    <mergeCell ref="I5:K5"/>
    <mergeCell ref="I8:K8"/>
    <mergeCell ref="I4:K4"/>
    <mergeCell ref="A4:C4"/>
    <mergeCell ref="E7:G7"/>
    <mergeCell ref="M9:P9"/>
    <mergeCell ref="A10:C10"/>
    <mergeCell ref="I3:L3"/>
    <mergeCell ref="E5:G5"/>
    <mergeCell ref="M13:P13"/>
    <mergeCell ref="A3:D3"/>
    <mergeCell ref="A6:C6"/>
    <mergeCell ref="E8:G8"/>
    <mergeCell ref="M7:P7"/>
    <mergeCell ref="M6:P6"/>
    <mergeCell ref="E4:G4"/>
    <mergeCell ref="M12:P12"/>
    <mergeCell ref="A7:C7"/>
    <mergeCell ref="I7:K7"/>
    <mergeCell ref="I6:K6"/>
    <mergeCell ref="I11:K11"/>
    <mergeCell ref="A11:C11"/>
    <mergeCell ref="E3:H3"/>
  </mergeCells>
  <conditionalFormatting sqref="B22:B51">
    <cfRule type="cellIs" dxfId="5" priority="5" operator="greaterThanOrEqual">
      <formula>$D$9</formula>
    </cfRule>
  </conditionalFormatting>
  <conditionalFormatting sqref="D12">
    <cfRule type="cellIs" dxfId="4" priority="6" operator="equal">
      <formula>"DRIFT"</formula>
    </cfRule>
  </conditionalFormatting>
  <conditionalFormatting sqref="E18:E51">
    <cfRule type="cellIs" dxfId="3" priority="1" operator="greaterThan">
      <formula>0.05</formula>
    </cfRule>
    <cfRule type="cellIs" dxfId="2" priority="2" operator="lessThan">
      <formula>-0.05</formula>
    </cfRule>
  </conditionalFormatting>
  <conditionalFormatting sqref="M18:M51">
    <cfRule type="cellIs" dxfId="1" priority="3" operator="greaterThanOrEqual">
      <formula>3</formula>
    </cfRule>
    <cfRule type="cellIs" dxfId="0" priority="4" operator="lessThanOrEqual">
      <formula>-3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Jun_2026</vt:lpstr>
      <vt:lpstr>Jul_2026</vt:lpstr>
      <vt:lpstr>Aug_2026</vt:lpstr>
      <vt:lpstr>Sep_2026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cardozo</cp:lastModifiedBy>
  <dcterms:created xsi:type="dcterms:W3CDTF">2026-08-01T08:48:41Z</dcterms:created>
  <dcterms:modified xsi:type="dcterms:W3CDTF">2026-08-07T15:48:25Z</dcterms:modified>
</cp:coreProperties>
</file>