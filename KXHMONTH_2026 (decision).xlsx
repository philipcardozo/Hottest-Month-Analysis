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2" autoFilterDateGrouping="1"/>
  </bookViews>
  <sheets>
    <sheet xmlns:r="http://schemas.openxmlformats.org/officeDocument/2006/relationships" name="Jun_2026" sheetId="1" state="visible" r:id="rId1"/>
    <sheet xmlns:r="http://schemas.openxmlformats.org/officeDocument/2006/relationships" name="Jul_2026" sheetId="2" state="visible" r:id="rId2"/>
    <sheet xmlns:r="http://schemas.openxmlformats.org/officeDocument/2006/relationships" name="Aug_2026" sheetId="3" state="visible" r:id="rId3"/>
    <sheet xmlns:r="http://schemas.openxmlformats.org/officeDocument/2006/relationships" name="Sep_202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00"/>
    <numFmt numFmtId="165" formatCode="\+0.000;\-0.000;0.000"/>
    <numFmt numFmtId="166" formatCode="0.0000"/>
    <numFmt numFmtId="167" formatCode="0.0"/>
    <numFmt numFmtId="168" formatCode="\$#,##0.00"/>
    <numFmt numFmtId="169" formatCode="0.00000"/>
    <numFmt numFmtId="170" formatCode="0.0%"/>
    <numFmt numFmtId="171" formatCode="\+0.0000;\-0.0000"/>
    <numFmt numFmtId="172" formatCode="\+0.0000;\-0.0000;0.0000"/>
  </numFmts>
  <fonts count="33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1F3864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00FF"/>
      <sz val="10"/>
    </font>
    <font>
      <name val="Arial"/>
      <family val="2"/>
      <b val="1"/>
      <sz val="9"/>
    </font>
    <font>
      <name val="Arial"/>
      <family val="2"/>
      <b val="1"/>
      <color rgb="FFFFFFFF"/>
      <sz val="9"/>
    </font>
    <font>
      <name val="Arial"/>
      <family val="2"/>
      <color rgb="FF0000FF"/>
      <sz val="9"/>
    </font>
    <font>
      <name val="Arial"/>
      <family val="2"/>
      <i val="1"/>
      <color rgb="FFC00000"/>
      <sz val="8"/>
    </font>
    <font>
      <name val="Arial"/>
      <family val="2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2"/>
      <sz val="9"/>
    </font>
    <font>
      <name val="Arial"/>
      <family val="2"/>
      <b val="1"/>
      <color theme="0"/>
      <sz val="9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00FF"/>
      <sz val="10"/>
    </font>
    <font>
      <name val="Arial"/>
      <family val="2"/>
      <b val="1"/>
      <sz val="9"/>
    </font>
    <font>
      <name val="Arial"/>
      <family val="2"/>
      <b val="1"/>
      <color rgb="FFFFFFFF"/>
      <sz val="9"/>
    </font>
    <font>
      <name val="Arial"/>
      <family val="2"/>
      <color rgb="FF0000FF"/>
      <sz val="9"/>
    </font>
    <font>
      <name val="Arial"/>
      <family val="2"/>
      <i val="1"/>
      <color rgb="FFC00000"/>
      <sz val="8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00FF"/>
      <sz val="10"/>
    </font>
    <font>
      <name val="Arial"/>
      <family val="2"/>
      <b val="1"/>
      <sz val="9"/>
    </font>
    <font>
      <name val="Arial"/>
      <family val="2"/>
      <b val="1"/>
      <color rgb="FFFFFFFF"/>
      <sz val="9"/>
    </font>
    <font>
      <name val="Arial"/>
      <family val="2"/>
      <color rgb="FF0000FF"/>
      <sz val="9"/>
    </font>
    <font>
      <name val="Arial"/>
      <family val="2"/>
      <i val="1"/>
      <color rgb="FFC00000"/>
      <sz val="8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theme="3" tint="-0.249977111117893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3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3">
    <xf numFmtId="0" fontId="12" fillId="0" borderId="0"/>
    <xf numFmtId="43" fontId="12" fillId="0" borderId="0"/>
    <xf numFmtId="9" fontId="12" fillId="0" borderId="0"/>
  </cellStyleXfs>
  <cellXfs count="179">
    <xf numFmtId="0" fontId="0" fillId="0" borderId="0" pivotButton="0" quotePrefix="0" xfId="0"/>
    <xf numFmtId="2" fontId="5" fillId="5" borderId="1" applyAlignment="1" pivotButton="0" quotePrefix="0" xfId="0">
      <alignment horizontal="center"/>
    </xf>
    <xf numFmtId="1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5" fontId="5" fillId="5" borderId="1" applyAlignment="1" pivotButton="0" quotePrefix="0" xfId="0">
      <alignment horizontal="center"/>
    </xf>
    <xf numFmtId="3" fontId="6" fillId="6" borderId="1" applyAlignment="1" pivotButton="0" quotePrefix="0" xfId="0">
      <alignment horizontal="center"/>
    </xf>
    <xf numFmtId="166" fontId="5" fillId="5" borderId="1" applyAlignment="1" pivotButton="0" quotePrefix="0" xfId="0">
      <alignment horizontal="center"/>
    </xf>
    <xf numFmtId="167" fontId="6" fillId="6" borderId="1" applyAlignment="1" pivotButton="0" quotePrefix="0" xfId="0">
      <alignment horizontal="center"/>
    </xf>
    <xf numFmtId="165" fontId="5" fillId="7" borderId="1" applyAlignment="1" pivotButton="0" quotePrefix="0" xfId="0">
      <alignment horizontal="center"/>
    </xf>
    <xf numFmtId="168" fontId="5" fillId="5" borderId="1" applyAlignment="1" pivotButton="0" quotePrefix="0" xfId="0">
      <alignment horizontal="center"/>
    </xf>
    <xf numFmtId="168" fontId="6" fillId="6" borderId="1" applyAlignment="1" pivotButton="0" quotePrefix="0" xfId="0">
      <alignment horizontal="center"/>
    </xf>
    <xf numFmtId="169" fontId="5" fillId="5" borderId="1" applyAlignment="1" pivotButton="0" quotePrefix="0" xfId="0">
      <alignment horizontal="center"/>
    </xf>
    <xf numFmtId="170" fontId="5" fillId="5" borderId="1" applyAlignment="1" pivotButton="0" quotePrefix="0" xfId="0">
      <alignment horizontal="center"/>
    </xf>
    <xf numFmtId="170" fontId="6" fillId="6" borderId="1" applyAlignment="1" pivotButton="0" quotePrefix="0" xfId="0">
      <alignment horizontal="center"/>
    </xf>
    <xf numFmtId="167" fontId="5" fillId="5" borderId="1" applyAlignment="1" pivotButton="0" quotePrefix="0" xfId="0">
      <alignment horizontal="center"/>
    </xf>
    <xf numFmtId="171" fontId="5" fillId="5" borderId="1" applyAlignment="1" pivotButton="0" quotePrefix="0" xfId="0">
      <alignment horizontal="center"/>
    </xf>
    <xf numFmtId="168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8" fillId="2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/>
    </xf>
    <xf numFmtId="165" fontId="9" fillId="4" borderId="1" pivotButton="0" quotePrefix="0" xfId="0"/>
    <xf numFmtId="165" fontId="4" fillId="4" borderId="1" pivotButton="0" quotePrefix="0" xfId="0"/>
    <xf numFmtId="170" fontId="4" fillId="4" borderId="1" pivotButton="0" quotePrefix="0" xfId="0"/>
    <xf numFmtId="167" fontId="4" fillId="4" borderId="1" pivotButton="0" quotePrefix="0" xfId="0"/>
    <xf numFmtId="167" fontId="9" fillId="4" borderId="1" pivotButton="0" quotePrefix="0" xfId="0"/>
    <xf numFmtId="3" fontId="9" fillId="4" borderId="1" pivotButton="0" quotePrefix="0" xfId="0"/>
    <xf numFmtId="0" fontId="10" fillId="4" borderId="1" pivotButton="0" quotePrefix="0" xfId="0"/>
    <xf numFmtId="0" fontId="4" fillId="4" borderId="1" pivotButton="0" quotePrefix="0" xfId="0"/>
    <xf numFmtId="0" fontId="4" fillId="0" borderId="1" applyAlignment="1" pivotButton="0" quotePrefix="0" xfId="0">
      <alignment horizontal="left"/>
    </xf>
    <xf numFmtId="165" fontId="9" fillId="6" borderId="1" pivotButton="0" quotePrefix="0" xfId="0"/>
    <xf numFmtId="165" fontId="4" fillId="0" borderId="1" pivotButton="0" quotePrefix="0" xfId="0"/>
    <xf numFmtId="170" fontId="4" fillId="0" borderId="1" pivotButton="0" quotePrefix="0" xfId="0"/>
    <xf numFmtId="167" fontId="4" fillId="0" borderId="1" pivotButton="0" quotePrefix="0" xfId="0"/>
    <xf numFmtId="167" fontId="9" fillId="6" borderId="1" pivotButton="0" quotePrefix="0" xfId="0"/>
    <xf numFmtId="3" fontId="9" fillId="6" borderId="1" pivotButton="0" quotePrefix="0" xfId="0"/>
    <xf numFmtId="0" fontId="10" fillId="0" borderId="1" pivotButton="0" quotePrefix="0" xfId="0"/>
    <xf numFmtId="0" fontId="4" fillId="0" borderId="1" pivotButton="0" quotePrefix="0" xfId="0"/>
    <xf numFmtId="0" fontId="8" fillId="2" borderId="0" applyAlignment="1" pivotButton="0" quotePrefix="0" xfId="0">
      <alignment horizontal="center" vertical="center"/>
    </xf>
    <xf numFmtId="0" fontId="8" fillId="2" borderId="0" pivotButton="0" quotePrefix="0" xfId="0"/>
    <xf numFmtId="1" fontId="4" fillId="0" borderId="0" pivotButton="0" quotePrefix="0" xfId="0"/>
    <xf numFmtId="165" fontId="4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71" fontId="0" fillId="0" borderId="0" pivotButton="0" quotePrefix="0" xfId="0"/>
    <xf numFmtId="1" fontId="11" fillId="0" borderId="0" pivotButton="0" quotePrefix="0" xfId="0"/>
    <xf numFmtId="166" fontId="11" fillId="0" borderId="0" pivotButton="0" quotePrefix="0" xfId="0"/>
    <xf numFmtId="0" fontId="7" fillId="0" borderId="0" pivotButton="0" quotePrefix="0" xfId="0"/>
    <xf numFmtId="2" fontId="0" fillId="0" borderId="0" applyAlignment="1" pivotButton="0" quotePrefix="0" xfId="1">
      <alignment horizontal="left"/>
    </xf>
    <xf numFmtId="0" fontId="0" fillId="8" borderId="0" pivotButton="0" quotePrefix="0" xfId="0"/>
    <xf numFmtId="165" fontId="8" fillId="0" borderId="1" pivotButton="0" quotePrefix="0" xfId="0"/>
    <xf numFmtId="165" fontId="0" fillId="9" borderId="0" pivotButton="0" quotePrefix="0" xfId="0"/>
    <xf numFmtId="2" fontId="0" fillId="9" borderId="0" pivotButton="0" quotePrefix="0" xfId="0"/>
    <xf numFmtId="0" fontId="13" fillId="10" borderId="2" applyAlignment="1" pivotButton="0" quotePrefix="0" xfId="0">
      <alignment horizontal="left"/>
    </xf>
    <xf numFmtId="9" fontId="0" fillId="9" borderId="0" pivotButton="0" quotePrefix="0" xfId="2"/>
    <xf numFmtId="165" fontId="4" fillId="0" borderId="4" pivotButton="0" quotePrefix="0" xfId="0"/>
    <xf numFmtId="165" fontId="4" fillId="0" borderId="3" pivotButton="0" quotePrefix="0" xfId="0"/>
    <xf numFmtId="165" fontId="9" fillId="4" borderId="4" pivotButton="0" quotePrefix="0" xfId="0"/>
    <xf numFmtId="0" fontId="8" fillId="2" borderId="5" applyAlignment="1" pivotButton="0" quotePrefix="0" xfId="0">
      <alignment horizontal="center" wrapText="1"/>
    </xf>
    <xf numFmtId="0" fontId="8" fillId="2" borderId="6" applyAlignment="1" pivotButton="0" quotePrefix="0" xfId="0">
      <alignment horizontal="center" wrapText="1"/>
    </xf>
    <xf numFmtId="0" fontId="14" fillId="11" borderId="7" applyAlignment="1" pivotButton="0" quotePrefix="0" xfId="0">
      <alignment horizontal="center" wrapText="1"/>
    </xf>
    <xf numFmtId="0" fontId="8" fillId="2" borderId="8" applyAlignment="1" pivotButton="0" quotePrefix="0" xfId="0">
      <alignment horizontal="center" wrapText="1"/>
    </xf>
    <xf numFmtId="2" fontId="18" fillId="5" borderId="10" applyAlignment="1" pivotButton="0" quotePrefix="0" xfId="0">
      <alignment horizontal="center"/>
    </xf>
    <xf numFmtId="1" fontId="18" fillId="5" borderId="10" applyAlignment="1" pivotButton="0" quotePrefix="0" xfId="0">
      <alignment horizontal="center"/>
    </xf>
    <xf numFmtId="0" fontId="18" fillId="5" borderId="10" applyAlignment="1" pivotButton="0" quotePrefix="0" xfId="0">
      <alignment horizontal="center"/>
    </xf>
    <xf numFmtId="0" fontId="19" fillId="6" borderId="10" applyAlignment="1" pivotButton="0" quotePrefix="0" xfId="0">
      <alignment horizontal="center"/>
    </xf>
    <xf numFmtId="164" fontId="18" fillId="5" borderId="10" applyAlignment="1" pivotButton="0" quotePrefix="0" xfId="0">
      <alignment horizontal="center"/>
    </xf>
    <xf numFmtId="165" fontId="18" fillId="5" borderId="10" applyAlignment="1" pivotButton="0" quotePrefix="0" xfId="0">
      <alignment horizontal="center"/>
    </xf>
    <xf numFmtId="3" fontId="19" fillId="6" borderId="10" applyAlignment="1" pivotButton="0" quotePrefix="0" xfId="0">
      <alignment horizontal="center"/>
    </xf>
    <xf numFmtId="166" fontId="18" fillId="5" borderId="10" applyAlignment="1" pivotButton="0" quotePrefix="0" xfId="0">
      <alignment horizontal="center"/>
    </xf>
    <xf numFmtId="167" fontId="19" fillId="6" borderId="10" applyAlignment="1" pivotButton="0" quotePrefix="0" xfId="0">
      <alignment horizontal="center"/>
    </xf>
    <xf numFmtId="165" fontId="18" fillId="7" borderId="10" applyAlignment="1" pivotButton="0" quotePrefix="0" xfId="0">
      <alignment horizontal="center"/>
    </xf>
    <xf numFmtId="168" fontId="18" fillId="5" borderId="10" applyAlignment="1" pivotButton="0" quotePrefix="0" xfId="0">
      <alignment horizontal="center"/>
    </xf>
    <xf numFmtId="168" fontId="19" fillId="6" borderId="10" applyAlignment="1" pivotButton="0" quotePrefix="0" xfId="0">
      <alignment horizontal="center"/>
    </xf>
    <xf numFmtId="169" fontId="18" fillId="5" borderId="10" applyAlignment="1" pivotButton="0" quotePrefix="0" xfId="0">
      <alignment horizontal="center"/>
    </xf>
    <xf numFmtId="170" fontId="18" fillId="5" borderId="10" applyAlignment="1" pivotButton="0" quotePrefix="0" xfId="0">
      <alignment horizontal="center"/>
    </xf>
    <xf numFmtId="170" fontId="19" fillId="6" borderId="10" applyAlignment="1" pivotButton="0" quotePrefix="0" xfId="0">
      <alignment horizontal="center"/>
    </xf>
    <xf numFmtId="167" fontId="18" fillId="5" borderId="10" applyAlignment="1" pivotButton="0" quotePrefix="0" xfId="0">
      <alignment horizontal="center"/>
    </xf>
    <xf numFmtId="171" fontId="18" fillId="5" borderId="10" applyAlignment="1" pivotButton="0" quotePrefix="0" xfId="0">
      <alignment horizontal="center"/>
    </xf>
    <xf numFmtId="168" fontId="18" fillId="7" borderId="10" applyAlignment="1" pivotButton="0" quotePrefix="0" xfId="0">
      <alignment horizontal="center"/>
    </xf>
    <xf numFmtId="0" fontId="18" fillId="7" borderId="10" applyAlignment="1" pivotButton="0" quotePrefix="0" xfId="0">
      <alignment horizontal="center"/>
    </xf>
    <xf numFmtId="0" fontId="21" fillId="2" borderId="10" applyAlignment="1" pivotButton="0" quotePrefix="0" xfId="0">
      <alignment horizontal="center" wrapText="1"/>
    </xf>
    <xf numFmtId="0" fontId="17" fillId="4" borderId="10" applyAlignment="1" pivotButton="0" quotePrefix="0" xfId="0">
      <alignment horizontal="left"/>
    </xf>
    <xf numFmtId="165" fontId="22" fillId="4" borderId="10" pivotButton="0" quotePrefix="0" xfId="0"/>
    <xf numFmtId="165" fontId="17" fillId="4" borderId="10" pivotButton="0" quotePrefix="0" xfId="0"/>
    <xf numFmtId="170" fontId="17" fillId="4" borderId="10" pivotButton="0" quotePrefix="0" xfId="0"/>
    <xf numFmtId="167" fontId="17" fillId="4" borderId="10" pivotButton="0" quotePrefix="0" xfId="0"/>
    <xf numFmtId="167" fontId="22" fillId="4" borderId="10" pivotButton="0" quotePrefix="0" xfId="0"/>
    <xf numFmtId="3" fontId="22" fillId="4" borderId="10" pivotButton="0" quotePrefix="0" xfId="0"/>
    <xf numFmtId="0" fontId="23" fillId="4" borderId="10" pivotButton="0" quotePrefix="0" xfId="0"/>
    <xf numFmtId="0" fontId="17" fillId="4" borderId="10" pivotButton="0" quotePrefix="0" xfId="0"/>
    <xf numFmtId="0" fontId="17" fillId="0" borderId="10" applyAlignment="1" pivotButton="0" quotePrefix="0" xfId="0">
      <alignment horizontal="left"/>
    </xf>
    <xf numFmtId="165" fontId="22" fillId="6" borderId="10" pivotButton="0" quotePrefix="0" xfId="0"/>
    <xf numFmtId="165" fontId="17" fillId="0" borderId="10" pivotButton="0" quotePrefix="0" xfId="0"/>
    <xf numFmtId="170" fontId="17" fillId="0" borderId="10" pivotButton="0" quotePrefix="0" xfId="0"/>
    <xf numFmtId="167" fontId="17" fillId="0" borderId="10" pivotButton="0" quotePrefix="0" xfId="0"/>
    <xf numFmtId="167" fontId="22" fillId="6" borderId="10" pivotButton="0" quotePrefix="0" xfId="0"/>
    <xf numFmtId="3" fontId="22" fillId="6" borderId="10" pivotButton="0" quotePrefix="0" xfId="0"/>
    <xf numFmtId="0" fontId="23" fillId="0" borderId="10" pivotButton="0" quotePrefix="0" xfId="0"/>
    <xf numFmtId="0" fontId="17" fillId="0" borderId="10" pivotButton="0" quotePrefix="0" xfId="0"/>
    <xf numFmtId="0" fontId="21" fillId="2" borderId="0" pivotButton="0" quotePrefix="0" xfId="0"/>
    <xf numFmtId="1" fontId="0" fillId="0" borderId="0" pivotButton="0" quotePrefix="0" xfId="0"/>
    <xf numFmtId="0" fontId="20" fillId="0" borderId="0" pivotButton="0" quotePrefix="0" xfId="0"/>
    <xf numFmtId="2" fontId="27" fillId="5" borderId="11" applyAlignment="1" pivotButton="0" quotePrefix="0" xfId="0">
      <alignment horizontal="center"/>
    </xf>
    <xf numFmtId="1" fontId="27" fillId="5" borderId="11" applyAlignment="1" pivotButton="0" quotePrefix="0" xfId="0">
      <alignment horizontal="center"/>
    </xf>
    <xf numFmtId="0" fontId="27" fillId="5" borderId="11" applyAlignment="1" pivotButton="0" quotePrefix="0" xfId="0">
      <alignment horizontal="center"/>
    </xf>
    <xf numFmtId="0" fontId="28" fillId="6" borderId="11" applyAlignment="1" pivotButton="0" quotePrefix="0" xfId="0">
      <alignment horizontal="center"/>
    </xf>
    <xf numFmtId="164" fontId="27" fillId="5" borderId="11" applyAlignment="1" pivotButton="0" quotePrefix="0" xfId="0">
      <alignment horizontal="center"/>
    </xf>
    <xf numFmtId="165" fontId="27" fillId="5" borderId="11" applyAlignment="1" pivotButton="0" quotePrefix="0" xfId="0">
      <alignment horizontal="center"/>
    </xf>
    <xf numFmtId="3" fontId="28" fillId="6" borderId="11" applyAlignment="1" pivotButton="0" quotePrefix="0" xfId="0">
      <alignment horizontal="center"/>
    </xf>
    <xf numFmtId="166" fontId="27" fillId="5" borderId="11" applyAlignment="1" pivotButton="0" quotePrefix="0" xfId="0">
      <alignment horizontal="center"/>
    </xf>
    <xf numFmtId="167" fontId="28" fillId="6" borderId="11" applyAlignment="1" pivotButton="0" quotePrefix="0" xfId="0">
      <alignment horizontal="center"/>
    </xf>
    <xf numFmtId="165" fontId="27" fillId="7" borderId="11" applyAlignment="1" pivotButton="0" quotePrefix="0" xfId="0">
      <alignment horizontal="center"/>
    </xf>
    <xf numFmtId="168" fontId="27" fillId="5" borderId="11" applyAlignment="1" pivotButton="0" quotePrefix="0" xfId="0">
      <alignment horizontal="center"/>
    </xf>
    <xf numFmtId="168" fontId="28" fillId="6" borderId="11" applyAlignment="1" pivotButton="0" quotePrefix="0" xfId="0">
      <alignment horizontal="center"/>
    </xf>
    <xf numFmtId="169" fontId="27" fillId="5" borderId="11" applyAlignment="1" pivotButton="0" quotePrefix="0" xfId="0">
      <alignment horizontal="center"/>
    </xf>
    <xf numFmtId="170" fontId="27" fillId="5" borderId="11" applyAlignment="1" pivotButton="0" quotePrefix="0" xfId="0">
      <alignment horizontal="center"/>
    </xf>
    <xf numFmtId="170" fontId="28" fillId="6" borderId="11" applyAlignment="1" pivotButton="0" quotePrefix="0" xfId="0">
      <alignment horizontal="center"/>
    </xf>
    <xf numFmtId="167" fontId="27" fillId="5" borderId="11" applyAlignment="1" pivotButton="0" quotePrefix="0" xfId="0">
      <alignment horizontal="center"/>
    </xf>
    <xf numFmtId="171" fontId="27" fillId="5" borderId="11" applyAlignment="1" pivotButton="0" quotePrefix="0" xfId="0">
      <alignment horizontal="center"/>
    </xf>
    <xf numFmtId="168" fontId="27" fillId="7" borderId="11" applyAlignment="1" pivotButton="0" quotePrefix="0" xfId="0">
      <alignment horizontal="center"/>
    </xf>
    <xf numFmtId="0" fontId="27" fillId="7" borderId="11" applyAlignment="1" pivotButton="0" quotePrefix="0" xfId="0">
      <alignment horizontal="center"/>
    </xf>
    <xf numFmtId="0" fontId="30" fillId="2" borderId="11" applyAlignment="1" pivotButton="0" quotePrefix="0" xfId="0">
      <alignment horizontal="center" wrapText="1"/>
    </xf>
    <xf numFmtId="0" fontId="26" fillId="4" borderId="11" applyAlignment="1" pivotButton="0" quotePrefix="0" xfId="0">
      <alignment horizontal="left"/>
    </xf>
    <xf numFmtId="165" fontId="31" fillId="4" borderId="11" pivotButton="0" quotePrefix="0" xfId="0"/>
    <xf numFmtId="165" fontId="26" fillId="4" borderId="11" pivotButton="0" quotePrefix="0" xfId="0"/>
    <xf numFmtId="170" fontId="26" fillId="4" borderId="11" pivotButton="0" quotePrefix="0" xfId="0"/>
    <xf numFmtId="167" fontId="26" fillId="4" borderId="11" pivotButton="0" quotePrefix="0" xfId="0"/>
    <xf numFmtId="167" fontId="31" fillId="4" borderId="11" pivotButton="0" quotePrefix="0" xfId="0"/>
    <xf numFmtId="3" fontId="31" fillId="4" borderId="11" pivotButton="0" quotePrefix="0" xfId="0"/>
    <xf numFmtId="0" fontId="32" fillId="4" borderId="11" pivotButton="0" quotePrefix="0" xfId="0"/>
    <xf numFmtId="0" fontId="26" fillId="4" borderId="11" pivotButton="0" quotePrefix="0" xfId="0"/>
    <xf numFmtId="0" fontId="26" fillId="0" borderId="11" applyAlignment="1" pivotButton="0" quotePrefix="0" xfId="0">
      <alignment horizontal="left"/>
    </xf>
    <xf numFmtId="165" fontId="31" fillId="6" borderId="11" pivotButton="0" quotePrefix="0" xfId="0"/>
    <xf numFmtId="165" fontId="26" fillId="0" borderId="11" pivotButton="0" quotePrefix="0" xfId="0"/>
    <xf numFmtId="170" fontId="26" fillId="0" borderId="11" pivotButton="0" quotePrefix="0" xfId="0"/>
    <xf numFmtId="167" fontId="26" fillId="0" borderId="11" pivotButton="0" quotePrefix="0" xfId="0"/>
    <xf numFmtId="167" fontId="31" fillId="6" borderId="11" pivotButton="0" quotePrefix="0" xfId="0"/>
    <xf numFmtId="3" fontId="31" fillId="6" borderId="11" pivotButton="0" quotePrefix="0" xfId="0"/>
    <xf numFmtId="0" fontId="32" fillId="0" borderId="11" pivotButton="0" quotePrefix="0" xfId="0"/>
    <xf numFmtId="0" fontId="26" fillId="0" borderId="11" pivotButton="0" quotePrefix="0" xfId="0"/>
    <xf numFmtId="0" fontId="29" fillId="3" borderId="11" pivotButton="0" quotePrefix="0" xfId="0"/>
    <xf numFmtId="165" fontId="26" fillId="3" borderId="11" pivotButton="0" quotePrefix="0" xfId="0"/>
    <xf numFmtId="0" fontId="0" fillId="3" borderId="11" pivotButton="0" quotePrefix="0" xfId="0"/>
    <xf numFmtId="9" fontId="26" fillId="3" borderId="11" pivotButton="0" quotePrefix="0" xfId="0"/>
    <xf numFmtId="2" fontId="26" fillId="3" borderId="11" pivotButton="0" quotePrefix="0" xfId="0"/>
    <xf numFmtId="0" fontId="30" fillId="2" borderId="0" pivotButton="0" quotePrefix="0" xfId="0"/>
    <xf numFmtId="0" fontId="29" fillId="0" borderId="0" pivotButton="0" quotePrefix="0" xfId="0"/>
    <xf numFmtId="172" fontId="0" fillId="9" borderId="0" pivotButton="0" quotePrefix="0" xfId="0"/>
    <xf numFmtId="0" fontId="4" fillId="4" borderId="11" applyAlignment="1" pivotButton="0" quotePrefix="0" xfId="0">
      <alignment horizontal="left" indent="1"/>
    </xf>
    <xf numFmtId="0" fontId="0" fillId="0" borderId="9" pivotButton="0" quotePrefix="0" xfId="0"/>
    <xf numFmtId="0" fontId="0" fillId="0" borderId="8" pivotButton="0" quotePrefix="0" xfId="0"/>
    <xf numFmtId="0" fontId="7" fillId="3" borderId="11" applyAlignment="1" pivotButton="0" quotePrefix="0" xfId="0">
      <alignment horizontal="left" indent="1"/>
    </xf>
    <xf numFmtId="0" fontId="8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17" fillId="4" borderId="11" applyAlignment="1" pivotButton="0" quotePrefix="0" xfId="0">
      <alignment horizontal="left" indent="1"/>
    </xf>
    <xf numFmtId="0" fontId="20" fillId="3" borderId="11" applyAlignment="1" pivotButton="0" quotePrefix="0" xfId="0">
      <alignment horizontal="left" indent="1"/>
    </xf>
    <xf numFmtId="0" fontId="21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26" fillId="4" borderId="11" applyAlignment="1" pivotButton="0" quotePrefix="0" xfId="0">
      <alignment horizontal="left" indent="1"/>
    </xf>
    <xf numFmtId="0" fontId="29" fillId="3" borderId="11" applyAlignment="1" pivotButton="0" quotePrefix="0" xfId="0">
      <alignment horizontal="left" indent="1"/>
    </xf>
    <xf numFmtId="0" fontId="30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4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165" fontId="26" fillId="0" borderId="4" pivotButton="0" quotePrefix="0" xfId="0"/>
    <xf numFmtId="165" fontId="26" fillId="0" borderId="3" pivotButton="0" quotePrefix="0" xfId="0"/>
    <xf numFmtId="165" fontId="31" fillId="4" borderId="4" pivotButton="0" quotePrefix="0" xfId="0"/>
    <xf numFmtId="0" fontId="30" fillId="2" borderId="8" applyAlignment="1" pivotButton="0" quotePrefix="0" xfId="0">
      <alignment horizontal="center" wrapText="1"/>
    </xf>
    <xf numFmtId="0" fontId="30" fillId="2" borderId="5" applyAlignment="1" pivotButton="0" quotePrefix="0" xfId="0">
      <alignment horizontal="center" wrapText="1"/>
    </xf>
    <xf numFmtId="0" fontId="30" fillId="11" borderId="7" applyAlignment="1" pivotButton="0" quotePrefix="0" xfId="0">
      <alignment horizontal="center" wrapText="1"/>
    </xf>
  </cellXfs>
  <cellStyles count="3">
    <cellStyle name="Normal" xfId="0" builtinId="0"/>
    <cellStyle name="Comma" xfId="1" builtinId="3"/>
    <cellStyle name="Percent" xfId="2" builtinId="5"/>
  </cellStyles>
  <dxfs count="24"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8CBAD"/>
        </patternFill>
      </fill>
    </dxf>
    <dxf>
      <font>
        <b val="1"/>
      </font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8CBAD"/>
        </patternFill>
      </fill>
    </dxf>
    <dxf>
      <font>
        <b val="1"/>
      </font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8CBAD"/>
        </patternFill>
      </fill>
    </dxf>
    <dxf>
      <font>
        <b val="1"/>
      </font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8CBAD"/>
        </patternFill>
      </fill>
    </dxf>
    <dxf>
      <font>
        <b val="1"/>
      </font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Month-to-date vs record pace — June 2026 (°C vs 1991–2020)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MTD mean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Jun_2026!$A$22:$A$51</f>
              <strCache>
                <ptCount val="30"/>
                <pt idx="0">
                  <v>Jun 01</v>
                </pt>
                <pt idx="1">
                  <v>Jun 02</v>
                </pt>
                <pt idx="2">
                  <v>Jun 03</v>
                </pt>
                <pt idx="3">
                  <v>Jun 04</v>
                </pt>
                <pt idx="4">
                  <v>Jun 05</v>
                </pt>
                <pt idx="5">
                  <v>Jun 06</v>
                </pt>
                <pt idx="6">
                  <v>Jun 07</v>
                </pt>
                <pt idx="7">
                  <v>Jun 08</v>
                </pt>
                <pt idx="8">
                  <v>Jun 09</v>
                </pt>
                <pt idx="9">
                  <v>Jun 10</v>
                </pt>
                <pt idx="10">
                  <v>Jun 11</v>
                </pt>
                <pt idx="11">
                  <v>Jun 12</v>
                </pt>
                <pt idx="12">
                  <v>Jun 13</v>
                </pt>
                <pt idx="13">
                  <v>Jun 14</v>
                </pt>
                <pt idx="14">
                  <v>Jun 15</v>
                </pt>
                <pt idx="15">
                  <v>Jun 16</v>
                </pt>
                <pt idx="16">
                  <v>Jun 17</v>
                </pt>
                <pt idx="17">
                  <v>Jun 18</v>
                </pt>
                <pt idx="18">
                  <v>Jun 19</v>
                </pt>
                <pt idx="19">
                  <v>Jun 20</v>
                </pt>
                <pt idx="20">
                  <v>Jun 21</v>
                </pt>
                <pt idx="21">
                  <v>Jun 22</v>
                </pt>
                <pt idx="22">
                  <v>Jun 23</v>
                </pt>
                <pt idx="23">
                  <v>Jun 24</v>
                </pt>
                <pt idx="24">
                  <v>Jun 25</v>
                </pt>
                <pt idx="25">
                  <v>Jun 26</v>
                </pt>
                <pt idx="26">
                  <v>Jun 27</v>
                </pt>
                <pt idx="27">
                  <v>Jun 28</v>
                </pt>
                <pt idx="28">
                  <v>Jun 29</v>
                </pt>
                <pt idx="29">
                  <v>Jun 30</v>
                </pt>
              </strCache>
            </strRef>
          </cat>
          <val>
            <numRef>
              <f>Jun_2026!$F$22:$F$51</f>
              <numCache>
                <formatCode>\+0.000;\-0.000;0.000</formatCode>
                <ptCount val="30"/>
                <pt idx="0">
                  <v>0.536</v>
                </pt>
                <pt idx="1">
                  <v>0.5515</v>
                </pt>
                <pt idx="2">
                  <v>0.5703333333333332</v>
                </pt>
                <pt idx="3">
                  <v>0.5805</v>
                </pt>
                <pt idx="4">
                  <v>0.5854</v>
                </pt>
                <pt idx="5">
                  <v>0.5963333333333334</v>
                </pt>
                <pt idx="6">
                  <v>0.6044285714285714</v>
                </pt>
                <pt idx="7">
                  <v>0.609625</v>
                </pt>
                <pt idx="8">
                  <v>0.6093333333333333</v>
                </pt>
                <pt idx="9">
                  <v>0.608</v>
                </pt>
                <pt idx="10">
                  <v>0.6092727272727273</v>
                </pt>
                <pt idx="11">
                  <v>0.6084999999999999</v>
                </pt>
                <pt idx="12">
                  <v>0.6028461538461538</v>
                </pt>
                <pt idx="13">
                  <v>0.5923571428571428</v>
                </pt>
                <pt idx="14">
                  <v>0.5836</v>
                </pt>
                <pt idx="15">
                  <v>0.5779375</v>
                </pt>
                <pt idx="16">
                  <v>0.5733529411764706</v>
                </pt>
                <pt idx="17">
                  <v>0.5693333333333332</v>
                </pt>
                <pt idx="18">
                  <v>0.5637894736842105</v>
                </pt>
                <pt idx="19">
                  <v>0.5591999999999999</v>
                </pt>
                <pt idx="20">
                  <v>0.5577619047619047</v>
                </pt>
                <pt idx="21">
                  <v>0.5572727272727273</v>
                </pt>
                <pt idx="22">
                  <v>0.5538695652173913</v>
                </pt>
                <pt idx="23">
                  <v>0.5492083333333333</v>
                </pt>
                <pt idx="24">
                  <v>0.5467599999999999</v>
                </pt>
                <pt idx="25">
                  <v>0.5477692307692308</v>
                </pt>
                <pt idx="26">
                  <v>0.550037037037037</v>
                </pt>
                <pt idx="27">
                  <v>0.5537142857142857</v>
                </pt>
                <pt idx="28">
                  <v>0.5566896551724138</v>
                </pt>
                <pt idx="29">
                  <v>0.5593</v>
                </pt>
              </numCache>
            </numRef>
          </val>
          <smooth val="0"/>
        </ser>
        <ser>
          <idx val="1"/>
          <order val="1"/>
          <tx>
            <v>2024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Jun_2026!$A$22:$A$51</f>
              <strCache>
                <ptCount val="30"/>
                <pt idx="0">
                  <v>Jun 01</v>
                </pt>
                <pt idx="1">
                  <v>Jun 02</v>
                </pt>
                <pt idx="2">
                  <v>Jun 03</v>
                </pt>
                <pt idx="3">
                  <v>Jun 04</v>
                </pt>
                <pt idx="4">
                  <v>Jun 05</v>
                </pt>
                <pt idx="5">
                  <v>Jun 06</v>
                </pt>
                <pt idx="6">
                  <v>Jun 07</v>
                </pt>
                <pt idx="7">
                  <v>Jun 08</v>
                </pt>
                <pt idx="8">
                  <v>Jun 09</v>
                </pt>
                <pt idx="9">
                  <v>Jun 10</v>
                </pt>
                <pt idx="10">
                  <v>Jun 11</v>
                </pt>
                <pt idx="11">
                  <v>Jun 12</v>
                </pt>
                <pt idx="12">
                  <v>Jun 13</v>
                </pt>
                <pt idx="13">
                  <v>Jun 14</v>
                </pt>
                <pt idx="14">
                  <v>Jun 15</v>
                </pt>
                <pt idx="15">
                  <v>Jun 16</v>
                </pt>
                <pt idx="16">
                  <v>Jun 17</v>
                </pt>
                <pt idx="17">
                  <v>Jun 18</v>
                </pt>
                <pt idx="18">
                  <v>Jun 19</v>
                </pt>
                <pt idx="19">
                  <v>Jun 20</v>
                </pt>
                <pt idx="20">
                  <v>Jun 21</v>
                </pt>
                <pt idx="21">
                  <v>Jun 22</v>
                </pt>
                <pt idx="22">
                  <v>Jun 23</v>
                </pt>
                <pt idx="23">
                  <v>Jun 24</v>
                </pt>
                <pt idx="24">
                  <v>Jun 25</v>
                </pt>
                <pt idx="25">
                  <v>Jun 26</v>
                </pt>
                <pt idx="26">
                  <v>Jun 27</v>
                </pt>
                <pt idx="27">
                  <v>Jun 28</v>
                </pt>
                <pt idx="28">
                  <v>Jun 29</v>
                </pt>
                <pt idx="29">
                  <v>Jun 30</v>
                </pt>
              </strCache>
            </strRef>
          </cat>
          <val>
            <numRef>
              <f>Jun_2026!$G$22:$G$51</f>
              <numCache>
                <formatCode>\+0.000;\-0.000;0.000</formatCode>
                <ptCount val="30"/>
                <pt idx="0">
                  <v>0.872</v>
                </pt>
                <pt idx="1">
                  <v>0.8355</v>
                </pt>
                <pt idx="2">
                  <v>0.8003</v>
                </pt>
                <pt idx="3">
                  <v>0.7755</v>
                </pt>
                <pt idx="4">
                  <v>0.7628</v>
                </pt>
                <pt idx="5">
                  <v>0.7475000000000001</v>
                </pt>
                <pt idx="6">
                  <v>0.7344000000000001</v>
                </pt>
                <pt idx="7">
                  <v>0.7288</v>
                </pt>
                <pt idx="8">
                  <v>0.7276</v>
                </pt>
                <pt idx="9">
                  <v>0.727</v>
                </pt>
                <pt idx="10">
                  <v>0.7296</v>
                </pt>
                <pt idx="11">
                  <v>0.735</v>
                </pt>
                <pt idx="12">
                  <v>0.7433999999999999</v>
                </pt>
                <pt idx="13">
                  <v>0.749</v>
                </pt>
                <pt idx="14">
                  <v>0.7487</v>
                </pt>
                <pt idx="15">
                  <v>0.7457</v>
                </pt>
                <pt idx="16">
                  <v>0.7431</v>
                </pt>
                <pt idx="17">
                  <v>0.7385</v>
                </pt>
                <pt idx="18">
                  <v>0.7312</v>
                </pt>
                <pt idx="19">
                  <v>0.722</v>
                </pt>
                <pt idx="20">
                  <v>0.7134</v>
                </pt>
                <pt idx="21">
                  <v>0.7054</v>
                </pt>
                <pt idx="22">
                  <v>0.699</v>
                </pt>
                <pt idx="23">
                  <v>0.6928</v>
                </pt>
                <pt idx="24">
                  <v>0.6879</v>
                </pt>
                <pt idx="25">
                  <v>0.6851</v>
                </pt>
                <pt idx="26">
                  <v>0.6828</v>
                </pt>
                <pt idx="27">
                  <v>0.6804</v>
                </pt>
                <pt idx="28">
                  <v>0.6781</v>
                </pt>
                <pt idx="29">
                  <v>0.6753</v>
                </pt>
              </numCache>
            </numRef>
          </val>
          <smooth val="0"/>
        </ser>
        <ser>
          <idx val="2"/>
          <order val="2"/>
          <tx>
            <v>2023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Jun_2026!$A$22:$A$51</f>
              <strCache>
                <ptCount val="30"/>
                <pt idx="0">
                  <v>Jun 01</v>
                </pt>
                <pt idx="1">
                  <v>Jun 02</v>
                </pt>
                <pt idx="2">
                  <v>Jun 03</v>
                </pt>
                <pt idx="3">
                  <v>Jun 04</v>
                </pt>
                <pt idx="4">
                  <v>Jun 05</v>
                </pt>
                <pt idx="5">
                  <v>Jun 06</v>
                </pt>
                <pt idx="6">
                  <v>Jun 07</v>
                </pt>
                <pt idx="7">
                  <v>Jun 08</v>
                </pt>
                <pt idx="8">
                  <v>Jun 09</v>
                </pt>
                <pt idx="9">
                  <v>Jun 10</v>
                </pt>
                <pt idx="10">
                  <v>Jun 11</v>
                </pt>
                <pt idx="11">
                  <v>Jun 12</v>
                </pt>
                <pt idx="12">
                  <v>Jun 13</v>
                </pt>
                <pt idx="13">
                  <v>Jun 14</v>
                </pt>
                <pt idx="14">
                  <v>Jun 15</v>
                </pt>
                <pt idx="15">
                  <v>Jun 16</v>
                </pt>
                <pt idx="16">
                  <v>Jun 17</v>
                </pt>
                <pt idx="17">
                  <v>Jun 18</v>
                </pt>
                <pt idx="18">
                  <v>Jun 19</v>
                </pt>
                <pt idx="19">
                  <v>Jun 20</v>
                </pt>
                <pt idx="20">
                  <v>Jun 21</v>
                </pt>
                <pt idx="21">
                  <v>Jun 22</v>
                </pt>
                <pt idx="22">
                  <v>Jun 23</v>
                </pt>
                <pt idx="23">
                  <v>Jun 24</v>
                </pt>
                <pt idx="24">
                  <v>Jun 25</v>
                </pt>
                <pt idx="25">
                  <v>Jun 26</v>
                </pt>
                <pt idx="26">
                  <v>Jun 27</v>
                </pt>
                <pt idx="27">
                  <v>Jun 28</v>
                </pt>
                <pt idx="28">
                  <v>Jun 29</v>
                </pt>
                <pt idx="29">
                  <v>Jun 30</v>
                </pt>
              </strCache>
            </strRef>
          </cat>
          <val>
            <numRef>
              <f>Jun_2026!$H$22:$H$51</f>
              <numCache>
                <formatCode>\+0.000;\-0.000;0.000</formatCode>
                <ptCount val="30"/>
                <pt idx="0">
                  <v>0.471</v>
                </pt>
                <pt idx="1">
                  <v>0.483</v>
                </pt>
                <pt idx="2">
                  <v>0.4997</v>
                </pt>
                <pt idx="3">
                  <v>0.504</v>
                </pt>
                <pt idx="4">
                  <v>0.5042</v>
                </pt>
                <pt idx="5">
                  <v>0.5162</v>
                </pt>
                <pt idx="6">
                  <v>0.538</v>
                </pt>
                <pt idx="7">
                  <v>0.5689</v>
                </pt>
                <pt idx="8">
                  <v>0.5967</v>
                </pt>
                <pt idx="9">
                  <v>0.6107</v>
                </pt>
                <pt idx="10">
                  <v>0.6136</v>
                </pt>
                <pt idx="11">
                  <v>0.6121</v>
                </pt>
                <pt idx="12">
                  <v>0.606</v>
                </pt>
                <pt idx="13">
                  <v>0.5977</v>
                </pt>
                <pt idx="14">
                  <v>0.591</v>
                </pt>
                <pt idx="15">
                  <v>0.5847</v>
                </pt>
                <pt idx="16">
                  <v>0.5782</v>
                </pt>
                <pt idx="17">
                  <v>0.5716</v>
                </pt>
                <pt idx="18">
                  <v>0.5647</v>
                </pt>
                <pt idx="19">
                  <v>0.5543</v>
                </pt>
                <pt idx="20">
                  <v>0.5457</v>
                </pt>
                <pt idx="21">
                  <v>0.5397</v>
                </pt>
                <pt idx="22">
                  <v>0.5353</v>
                </pt>
                <pt idx="23">
                  <v>0.5349</v>
                </pt>
                <pt idx="24">
                  <v>0.5366</v>
                </pt>
                <pt idx="25">
                  <v>0.5379</v>
                </pt>
                <pt idx="26">
                  <v>0.5387</v>
                </pt>
                <pt idx="27">
                  <v>0.5377</v>
                </pt>
                <pt idx="28">
                  <v>0.5361</v>
                </pt>
                <pt idx="29">
                  <v>0.532</v>
                </pt>
              </numCache>
            </numRef>
          </val>
          <smooth val="0"/>
        </ser>
        <ser>
          <idx val="3"/>
          <order val="3"/>
          <tx>
            <v>record pace +0.660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Jun_2026!$A$22:$A$51</f>
              <strCache>
                <ptCount val="30"/>
                <pt idx="0">
                  <v>Jun 01</v>
                </pt>
                <pt idx="1">
                  <v>Jun 02</v>
                </pt>
                <pt idx="2">
                  <v>Jun 03</v>
                </pt>
                <pt idx="3">
                  <v>Jun 04</v>
                </pt>
                <pt idx="4">
                  <v>Jun 05</v>
                </pt>
                <pt idx="5">
                  <v>Jun 06</v>
                </pt>
                <pt idx="6">
                  <v>Jun 07</v>
                </pt>
                <pt idx="7">
                  <v>Jun 08</v>
                </pt>
                <pt idx="8">
                  <v>Jun 09</v>
                </pt>
                <pt idx="9">
                  <v>Jun 10</v>
                </pt>
                <pt idx="10">
                  <v>Jun 11</v>
                </pt>
                <pt idx="11">
                  <v>Jun 12</v>
                </pt>
                <pt idx="12">
                  <v>Jun 13</v>
                </pt>
                <pt idx="13">
                  <v>Jun 14</v>
                </pt>
                <pt idx="14">
                  <v>Jun 15</v>
                </pt>
                <pt idx="15">
                  <v>Jun 16</v>
                </pt>
                <pt idx="16">
                  <v>Jun 17</v>
                </pt>
                <pt idx="17">
                  <v>Jun 18</v>
                </pt>
                <pt idx="18">
                  <v>Jun 19</v>
                </pt>
                <pt idx="19">
                  <v>Jun 20</v>
                </pt>
                <pt idx="20">
                  <v>Jun 21</v>
                </pt>
                <pt idx="21">
                  <v>Jun 22</v>
                </pt>
                <pt idx="22">
                  <v>Jun 23</v>
                </pt>
                <pt idx="23">
                  <v>Jun 24</v>
                </pt>
                <pt idx="24">
                  <v>Jun 25</v>
                </pt>
                <pt idx="25">
                  <v>Jun 26</v>
                </pt>
                <pt idx="26">
                  <v>Jun 27</v>
                </pt>
                <pt idx="27">
                  <v>Jun 28</v>
                </pt>
                <pt idx="28">
                  <v>Jun 29</v>
                </pt>
                <pt idx="29">
                  <v>Jun 30</v>
                </pt>
              </strCache>
            </strRef>
          </cat>
          <val>
            <numRef>
              <f>Jun_2026!$R$22:$R$51</f>
              <numCache>
                <formatCode>\+0.000;\-0.000;0.000</formatCode>
                <ptCount val="30"/>
                <pt idx="0">
                  <v>0.6596425419240954</v>
                </pt>
                <pt idx="1">
                  <v>0.6596425419240954</v>
                </pt>
                <pt idx="2">
                  <v>0.6596425419240954</v>
                </pt>
                <pt idx="3">
                  <v>0.6596425419240954</v>
                </pt>
                <pt idx="4">
                  <v>0.6596425419240954</v>
                </pt>
                <pt idx="5">
                  <v>0.6596425419240954</v>
                </pt>
                <pt idx="6">
                  <v>0.6596425419240954</v>
                </pt>
                <pt idx="7">
                  <v>0.6596425419240954</v>
                </pt>
                <pt idx="8">
                  <v>0.6596425419240954</v>
                </pt>
                <pt idx="9">
                  <v>0.6596425419240954</v>
                </pt>
                <pt idx="10">
                  <v>0.6596425419240954</v>
                </pt>
                <pt idx="11">
                  <v>0.6596425419240954</v>
                </pt>
                <pt idx="12">
                  <v>0.6596425419240954</v>
                </pt>
                <pt idx="13">
                  <v>0.6596425419240954</v>
                </pt>
                <pt idx="14">
                  <v>0.6596425419240954</v>
                </pt>
                <pt idx="15">
                  <v>0.6596425419240954</v>
                </pt>
                <pt idx="16">
                  <v>0.6596425419240954</v>
                </pt>
                <pt idx="17">
                  <v>0.6596425419240954</v>
                </pt>
                <pt idx="18">
                  <v>0.6596425419240954</v>
                </pt>
                <pt idx="19">
                  <v>0.6596425419240954</v>
                </pt>
                <pt idx="20">
                  <v>0.6596425419240954</v>
                </pt>
                <pt idx="21">
                  <v>0.6596425419240954</v>
                </pt>
                <pt idx="22">
                  <v>0.6596425419240954</v>
                </pt>
                <pt idx="23">
                  <v>0.6596425419240954</v>
                </pt>
                <pt idx="24">
                  <v>0.6596425419240954</v>
                </pt>
                <pt idx="25">
                  <v>0.6596425419240954</v>
                </pt>
                <pt idx="26">
                  <v>0.6596425419240954</v>
                </pt>
                <pt idx="27">
                  <v>0.6596425419240954</v>
                </pt>
                <pt idx="28">
                  <v>0.6596425419240954</v>
                </pt>
                <pt idx="29">
                  <v>0.6596425419240954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\+0.000;\-0.000;0.0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Model vs market — YES in cents (gap = edge)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model YES ¢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Jun_2026!$A$18:$A$51</f>
              <strCache>
                <ptCount val="34"/>
                <pt idx="0">
                  <v>May 28</v>
                </pt>
                <pt idx="1">
                  <v>May 29</v>
                </pt>
                <pt idx="2">
                  <v>May 30</v>
                </pt>
                <pt idx="3">
                  <v>May 31</v>
                </pt>
                <pt idx="4">
                  <v>Jun 01</v>
                </pt>
                <pt idx="5">
                  <v>Jun 02</v>
                </pt>
                <pt idx="6">
                  <v>Jun 03</v>
                </pt>
                <pt idx="7">
                  <v>Jun 04</v>
                </pt>
                <pt idx="8">
                  <v>Jun 05</v>
                </pt>
                <pt idx="9">
                  <v>Jun 06</v>
                </pt>
                <pt idx="10">
                  <v>Jun 07</v>
                </pt>
                <pt idx="11">
                  <v>Jun 08</v>
                </pt>
                <pt idx="12">
                  <v>Jun 09</v>
                </pt>
                <pt idx="13">
                  <v>Jun 10</v>
                </pt>
                <pt idx="14">
                  <v>Jun 11</v>
                </pt>
                <pt idx="15">
                  <v>Jun 12</v>
                </pt>
                <pt idx="16">
                  <v>Jun 13</v>
                </pt>
                <pt idx="17">
                  <v>Jun 14</v>
                </pt>
                <pt idx="18">
                  <v>Jun 15</v>
                </pt>
                <pt idx="19">
                  <v>Jun 16</v>
                </pt>
                <pt idx="20">
                  <v>Jun 17</v>
                </pt>
                <pt idx="21">
                  <v>Jun 18</v>
                </pt>
                <pt idx="22">
                  <v>Jun 19</v>
                </pt>
                <pt idx="23">
                  <v>Jun 20</v>
                </pt>
                <pt idx="24">
                  <v>Jun 21</v>
                </pt>
                <pt idx="25">
                  <v>Jun 22</v>
                </pt>
                <pt idx="26">
                  <v>Jun 23</v>
                </pt>
                <pt idx="27">
                  <v>Jun 24</v>
                </pt>
                <pt idx="28">
                  <v>Jun 25</v>
                </pt>
                <pt idx="29">
                  <v>Jun 26</v>
                </pt>
                <pt idx="30">
                  <v>Jun 27</v>
                </pt>
                <pt idx="31">
                  <v>Jun 28</v>
                </pt>
                <pt idx="32">
                  <v>Jun 29</v>
                </pt>
                <pt idx="33">
                  <v>Jun 30</v>
                </pt>
              </strCache>
            </strRef>
          </cat>
          <val>
            <numRef>
              <f>Jun_2026!$S$18:$S$51</f>
              <numCache>
                <formatCode>0.0</formatCode>
                <ptCount val="3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1.071417339867586</v>
                </pt>
                <pt idx="5">
                  <v>1.112866002977519</v>
                </pt>
                <pt idx="6">
                  <v>1.241369953545568</v>
                </pt>
                <pt idx="7">
                  <v>1.389642229573362</v>
                </pt>
                <pt idx="8">
                  <v>1.537325990037408</v>
                </pt>
                <pt idx="9">
                  <v>1.832410919668537</v>
                </pt>
                <pt idx="10">
                  <v>2.181411121949939</v>
                </pt>
                <pt idx="11">
                  <v>2.556909024562126</v>
                </pt>
                <pt idx="12">
                  <v>2.812340958325799</v>
                </pt>
                <pt idx="13">
                  <v>3.037659040538521</v>
                </pt>
                <pt idx="14">
                  <v>3.407310870273861</v>
                </pt>
                <pt idx="15">
                  <v>3.692608249623974</v>
                </pt>
                <pt idx="16">
                  <v>3.636173165150192</v>
                </pt>
                <pt idx="17">
                  <v>3.183239865558496</v>
                </pt>
                <pt idx="18">
                  <v>2.799405658519372</v>
                </pt>
                <pt idx="19">
                  <v>2.580942334756942</v>
                </pt>
                <pt idx="20">
                  <v>2.403324081041924</v>
                </pt>
                <pt idx="21">
                  <v>2.239658460459137</v>
                </pt>
                <pt idx="22">
                  <v>1.964246105832379</v>
                </pt>
                <pt idx="23">
                  <v>1.741071155221974</v>
                </pt>
                <pt idx="24">
                  <v>1.694060403297959</v>
                </pt>
                <pt idx="25">
                  <v>1.698288785669533</v>
                </pt>
                <pt idx="26">
                  <v>1.519279554807285</v>
                </pt>
                <pt idx="27">
                  <v>1.272956843971529</v>
                </pt>
                <pt idx="28">
                  <v>1.151657786669957</v>
                </pt>
                <pt idx="29">
                  <v>1.208357526232184</v>
                </pt>
                <pt idx="30">
                  <v>1.348603933129733</v>
                </pt>
                <pt idx="31">
                  <v>1.618120649891541</v>
                </pt>
                <pt idx="32">
                  <v>1.891933520880151</v>
                </pt>
                <pt idx="33">
                  <v>2.186652924547161</v>
                </pt>
              </numCache>
            </numRef>
          </val>
          <smooth val="0"/>
        </ser>
        <ser>
          <idx val="1"/>
          <order val="1"/>
          <tx>
            <v>market YES ¢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Jun_2026!$A$18:$A$51</f>
              <strCache>
                <ptCount val="34"/>
                <pt idx="0">
                  <v>May 28</v>
                </pt>
                <pt idx="1">
                  <v>May 29</v>
                </pt>
                <pt idx="2">
                  <v>May 30</v>
                </pt>
                <pt idx="3">
                  <v>May 31</v>
                </pt>
                <pt idx="4">
                  <v>Jun 01</v>
                </pt>
                <pt idx="5">
                  <v>Jun 02</v>
                </pt>
                <pt idx="6">
                  <v>Jun 03</v>
                </pt>
                <pt idx="7">
                  <v>Jun 04</v>
                </pt>
                <pt idx="8">
                  <v>Jun 05</v>
                </pt>
                <pt idx="9">
                  <v>Jun 06</v>
                </pt>
                <pt idx="10">
                  <v>Jun 07</v>
                </pt>
                <pt idx="11">
                  <v>Jun 08</v>
                </pt>
                <pt idx="12">
                  <v>Jun 09</v>
                </pt>
                <pt idx="13">
                  <v>Jun 10</v>
                </pt>
                <pt idx="14">
                  <v>Jun 11</v>
                </pt>
                <pt idx="15">
                  <v>Jun 12</v>
                </pt>
                <pt idx="16">
                  <v>Jun 13</v>
                </pt>
                <pt idx="17">
                  <v>Jun 14</v>
                </pt>
                <pt idx="18">
                  <v>Jun 15</v>
                </pt>
                <pt idx="19">
                  <v>Jun 16</v>
                </pt>
                <pt idx="20">
                  <v>Jun 17</v>
                </pt>
                <pt idx="21">
                  <v>Jun 18</v>
                </pt>
                <pt idx="22">
                  <v>Jun 19</v>
                </pt>
                <pt idx="23">
                  <v>Jun 20</v>
                </pt>
                <pt idx="24">
                  <v>Jun 21</v>
                </pt>
                <pt idx="25">
                  <v>Jun 22</v>
                </pt>
                <pt idx="26">
                  <v>Jun 23</v>
                </pt>
                <pt idx="27">
                  <v>Jun 24</v>
                </pt>
                <pt idx="28">
                  <v>Jun 25</v>
                </pt>
                <pt idx="29">
                  <v>Jun 26</v>
                </pt>
                <pt idx="30">
                  <v>Jun 27</v>
                </pt>
                <pt idx="31">
                  <v>Jun 28</v>
                </pt>
                <pt idx="32">
                  <v>Jun 29</v>
                </pt>
                <pt idx="33">
                  <v>Jun 30</v>
                </pt>
              </strCache>
            </strRef>
          </cat>
          <val>
            <numRef>
              <f>Jun_2026!$L$18:$L$51</f>
              <numCache>
                <formatCode>0.0</formatCode>
                <ptCount val="34"/>
                <pt idx="0">
                  <v>10</v>
                </pt>
                <pt idx="1">
                  <v>10</v>
                </pt>
                <pt idx="2">
                  <v>28</v>
                </pt>
                <pt idx="3">
                  <v>21</v>
                </pt>
                <pt idx="4">
                  <v>15</v>
                </pt>
                <pt idx="5">
                  <v>13</v>
                </pt>
                <pt idx="6">
                  <v>13</v>
                </pt>
                <pt idx="7">
                  <v>15</v>
                </pt>
                <pt idx="8">
                  <v>15</v>
                </pt>
                <pt idx="9">
                  <v>13</v>
                </pt>
                <pt idx="10">
                  <v>12</v>
                </pt>
                <pt idx="11">
                  <v>10</v>
                </pt>
                <pt idx="12">
                  <v>11</v>
                </pt>
                <pt idx="13">
                  <v>13</v>
                </pt>
                <pt idx="14">
                  <v>10</v>
                </pt>
                <pt idx="15">
                  <v>9</v>
                </pt>
                <pt idx="16">
                  <v>7</v>
                </pt>
                <pt idx="17">
                  <v>8</v>
                </pt>
                <pt idx="18">
                  <v>8</v>
                </pt>
                <pt idx="19">
                  <v>6</v>
                </pt>
                <pt idx="20">
                  <v>6</v>
                </pt>
                <pt idx="21">
                  <v>3</v>
                </pt>
                <pt idx="22">
                  <v>4</v>
                </pt>
                <pt idx="23">
                  <v>4</v>
                </pt>
                <pt idx="24">
                  <v>5</v>
                </pt>
                <pt idx="25">
                  <v>3</v>
                </pt>
                <pt idx="26">
                  <v>3</v>
                </pt>
                <pt idx="27">
                  <v>5</v>
                </pt>
                <pt idx="28">
                  <v>1</v>
                </pt>
                <pt idx="29">
                  <v>4</v>
                </pt>
                <pt idx="30">
                  <v>5</v>
                </pt>
                <pt idx="31">
                  <v>5</v>
                </pt>
                <pt idx="32">
                  <v>6</v>
                </pt>
                <pt idx="33">
                  <v>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0.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Volume and open interest — KXHMONTH-26JUN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v>volume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Jun_2026!$A$18:$A$51</f>
              <strCache>
                <ptCount val="34"/>
                <pt idx="0">
                  <v>May 28</v>
                </pt>
                <pt idx="1">
                  <v>May 29</v>
                </pt>
                <pt idx="2">
                  <v>May 30</v>
                </pt>
                <pt idx="3">
                  <v>May 31</v>
                </pt>
                <pt idx="4">
                  <v>Jun 01</v>
                </pt>
                <pt idx="5">
                  <v>Jun 02</v>
                </pt>
                <pt idx="6">
                  <v>Jun 03</v>
                </pt>
                <pt idx="7">
                  <v>Jun 04</v>
                </pt>
                <pt idx="8">
                  <v>Jun 05</v>
                </pt>
                <pt idx="9">
                  <v>Jun 06</v>
                </pt>
                <pt idx="10">
                  <v>Jun 07</v>
                </pt>
                <pt idx="11">
                  <v>Jun 08</v>
                </pt>
                <pt idx="12">
                  <v>Jun 09</v>
                </pt>
                <pt idx="13">
                  <v>Jun 10</v>
                </pt>
                <pt idx="14">
                  <v>Jun 11</v>
                </pt>
                <pt idx="15">
                  <v>Jun 12</v>
                </pt>
                <pt idx="16">
                  <v>Jun 13</v>
                </pt>
                <pt idx="17">
                  <v>Jun 14</v>
                </pt>
                <pt idx="18">
                  <v>Jun 15</v>
                </pt>
                <pt idx="19">
                  <v>Jun 16</v>
                </pt>
                <pt idx="20">
                  <v>Jun 17</v>
                </pt>
                <pt idx="21">
                  <v>Jun 18</v>
                </pt>
                <pt idx="22">
                  <v>Jun 19</v>
                </pt>
                <pt idx="23">
                  <v>Jun 20</v>
                </pt>
                <pt idx="24">
                  <v>Jun 21</v>
                </pt>
                <pt idx="25">
                  <v>Jun 22</v>
                </pt>
                <pt idx="26">
                  <v>Jun 23</v>
                </pt>
                <pt idx="27">
                  <v>Jun 24</v>
                </pt>
                <pt idx="28">
                  <v>Jun 25</v>
                </pt>
                <pt idx="29">
                  <v>Jun 26</v>
                </pt>
                <pt idx="30">
                  <v>Jun 27</v>
                </pt>
                <pt idx="31">
                  <v>Jun 28</v>
                </pt>
                <pt idx="32">
                  <v>Jun 29</v>
                </pt>
                <pt idx="33">
                  <v>Jun 30</v>
                </pt>
              </strCache>
            </strRef>
          </cat>
          <val>
            <numRef>
              <f>Jun_2026!$N$18:$N$51</f>
              <numCache>
                <formatCode>#,##0</formatCode>
                <ptCount val="34"/>
                <pt idx="0">
                  <v>51</v>
                </pt>
                <pt idx="1">
                  <v>10</v>
                </pt>
                <pt idx="2">
                  <v>1003.06</v>
                </pt>
                <pt idx="3">
                  <v>285.61</v>
                </pt>
                <pt idx="4">
                  <v>302.5</v>
                </pt>
                <pt idx="5">
                  <v>240.81</v>
                </pt>
                <pt idx="6">
                  <v>21</v>
                </pt>
                <pt idx="7">
                  <v>27.22</v>
                </pt>
                <pt idx="8">
                  <v>720.73</v>
                </pt>
                <pt idx="9">
                  <v>280.5</v>
                </pt>
                <pt idx="10">
                  <v>296.2</v>
                </pt>
                <pt idx="11">
                  <v>15.9</v>
                </pt>
                <pt idx="12">
                  <v>280.53</v>
                </pt>
                <pt idx="13">
                  <v>191.71</v>
                </pt>
                <pt idx="14">
                  <v>431.61</v>
                </pt>
                <pt idx="15">
                  <v>892.55</v>
                </pt>
                <pt idx="16">
                  <v>759.46</v>
                </pt>
                <pt idx="17">
                  <v>512.99</v>
                </pt>
                <pt idx="18">
                  <v>400.01</v>
                </pt>
                <pt idx="19">
                  <v>1659.22</v>
                </pt>
                <pt idx="20">
                  <v>1167.58</v>
                </pt>
                <pt idx="21">
                  <v>428.88</v>
                </pt>
                <pt idx="22">
                  <v>982.83</v>
                </pt>
                <pt idx="23">
                  <v>721.8200000000001</v>
                </pt>
                <pt idx="24">
                  <v>748.13</v>
                </pt>
                <pt idx="25">
                  <v>1069.21</v>
                </pt>
                <pt idx="26">
                  <v>236.95</v>
                </pt>
                <pt idx="27">
                  <v>774.95</v>
                </pt>
                <pt idx="28">
                  <v>1464.24</v>
                </pt>
                <pt idx="29">
                  <v>1797.72</v>
                </pt>
                <pt idx="30">
                  <v>2166.13</v>
                </pt>
                <pt idx="31">
                  <v>836.5599999999999</v>
                </pt>
                <pt idx="32">
                  <v>4397.78</v>
                </pt>
                <pt idx="33">
                  <v>1818.51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lineChart>
        <grouping val="standard"/>
        <varyColors val="1"/>
        <ser>
          <idx val="1"/>
          <order val="1"/>
          <tx>
            <v>open interest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Jun_2026!$O$18:$O$51</f>
              <numCache>
                <formatCode>#,##0</formatCode>
                <ptCount val="34"/>
                <pt idx="0">
                  <v>51</v>
                </pt>
                <pt idx="1">
                  <v>61</v>
                </pt>
                <pt idx="2">
                  <v>1046.44</v>
                </pt>
                <pt idx="3">
                  <v>1314.48</v>
                </pt>
                <pt idx="4">
                  <v>1351.48</v>
                </pt>
                <pt idx="5">
                  <v>1477.04</v>
                </pt>
                <pt idx="6">
                  <v>1494.24</v>
                </pt>
                <pt idx="7">
                  <v>1506.46</v>
                </pt>
                <pt idx="8">
                  <v>2152.76</v>
                </pt>
                <pt idx="9">
                  <v>2427.1</v>
                </pt>
                <pt idx="10">
                  <v>2612.01</v>
                </pt>
                <pt idx="11">
                  <v>2617.11</v>
                </pt>
                <pt idx="12">
                  <v>2593.28</v>
                </pt>
                <pt idx="13">
                  <v>2623.13</v>
                </pt>
                <pt idx="14">
                  <v>2305.82</v>
                </pt>
                <pt idx="15">
                  <v>2904.85</v>
                </pt>
                <pt idx="16">
                  <v>3299.97</v>
                </pt>
                <pt idx="17">
                  <v>3446</v>
                </pt>
                <pt idx="18">
                  <v>3725.85</v>
                </pt>
                <pt idx="19">
                  <v>4880.94</v>
                </pt>
                <pt idx="20">
                  <v>4314.18</v>
                </pt>
                <pt idx="21">
                  <v>4604.09</v>
                </pt>
                <pt idx="22">
                  <v>4747.61</v>
                </pt>
                <pt idx="23">
                  <v>5434.68</v>
                </pt>
                <pt idx="24">
                  <v>5852.41</v>
                </pt>
                <pt idx="25">
                  <v>6391.79</v>
                </pt>
                <pt idx="26">
                  <v>6505.3</v>
                </pt>
                <pt idx="27">
                  <v>6708.46</v>
                </pt>
                <pt idx="28">
                  <v>6731.51</v>
                </pt>
                <pt idx="29">
                  <v>8045.86</v>
                </pt>
                <pt idx="30">
                  <v>8874.530000000001</v>
                </pt>
                <pt idx="31">
                  <v>9529.049999999999</v>
                </pt>
                <pt idx="32">
                  <v>10426.16</v>
                </pt>
                <pt idx="33">
                  <v>10493.42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Forecast error — Dev and Dev3 (spike tripwire, ±0.05)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Dev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Jun_2026!$A$18:$A$51</f>
              <strCache>
                <ptCount val="34"/>
                <pt idx="0">
                  <v>May 28</v>
                </pt>
                <pt idx="1">
                  <v>May 29</v>
                </pt>
                <pt idx="2">
                  <v>May 30</v>
                </pt>
                <pt idx="3">
                  <v>May 31</v>
                </pt>
                <pt idx="4">
                  <v>Jun 01</v>
                </pt>
                <pt idx="5">
                  <v>Jun 02</v>
                </pt>
                <pt idx="6">
                  <v>Jun 03</v>
                </pt>
                <pt idx="7">
                  <v>Jun 04</v>
                </pt>
                <pt idx="8">
                  <v>Jun 05</v>
                </pt>
                <pt idx="9">
                  <v>Jun 06</v>
                </pt>
                <pt idx="10">
                  <v>Jun 07</v>
                </pt>
                <pt idx="11">
                  <v>Jun 08</v>
                </pt>
                <pt idx="12">
                  <v>Jun 09</v>
                </pt>
                <pt idx="13">
                  <v>Jun 10</v>
                </pt>
                <pt idx="14">
                  <v>Jun 11</v>
                </pt>
                <pt idx="15">
                  <v>Jun 12</v>
                </pt>
                <pt idx="16">
                  <v>Jun 13</v>
                </pt>
                <pt idx="17">
                  <v>Jun 14</v>
                </pt>
                <pt idx="18">
                  <v>Jun 15</v>
                </pt>
                <pt idx="19">
                  <v>Jun 16</v>
                </pt>
                <pt idx="20">
                  <v>Jun 17</v>
                </pt>
                <pt idx="21">
                  <v>Jun 18</v>
                </pt>
                <pt idx="22">
                  <v>Jun 19</v>
                </pt>
                <pt idx="23">
                  <v>Jun 20</v>
                </pt>
                <pt idx="24">
                  <v>Jun 21</v>
                </pt>
                <pt idx="25">
                  <v>Jun 22</v>
                </pt>
                <pt idx="26">
                  <v>Jun 23</v>
                </pt>
                <pt idx="27">
                  <v>Jun 24</v>
                </pt>
                <pt idx="28">
                  <v>Jun 25</v>
                </pt>
                <pt idx="29">
                  <v>Jun 26</v>
                </pt>
                <pt idx="30">
                  <v>Jun 27</v>
                </pt>
                <pt idx="31">
                  <v>Jun 28</v>
                </pt>
                <pt idx="32">
                  <v>Jun 29</v>
                </pt>
                <pt idx="33">
                  <v>Jun 30</v>
                </pt>
              </strCache>
            </strRef>
          </cat>
          <val>
            <numRef>
              <f>Jun_2026!$D$18:$D$51</f>
              <numCache>
                <formatCode>\+0.000;\-0.000;0.000</formatCode>
                <ptCount val="3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</numCache>
            </numRef>
          </val>
          <smooth val="0"/>
        </ser>
        <ser>
          <idx val="1"/>
          <order val="1"/>
          <tx>
            <v>Dev3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Jun_2026!$A$18:$A$51</f>
              <strCache>
                <ptCount val="34"/>
                <pt idx="0">
                  <v>May 28</v>
                </pt>
                <pt idx="1">
                  <v>May 29</v>
                </pt>
                <pt idx="2">
                  <v>May 30</v>
                </pt>
                <pt idx="3">
                  <v>May 31</v>
                </pt>
                <pt idx="4">
                  <v>Jun 01</v>
                </pt>
                <pt idx="5">
                  <v>Jun 02</v>
                </pt>
                <pt idx="6">
                  <v>Jun 03</v>
                </pt>
                <pt idx="7">
                  <v>Jun 04</v>
                </pt>
                <pt idx="8">
                  <v>Jun 05</v>
                </pt>
                <pt idx="9">
                  <v>Jun 06</v>
                </pt>
                <pt idx="10">
                  <v>Jun 07</v>
                </pt>
                <pt idx="11">
                  <v>Jun 08</v>
                </pt>
                <pt idx="12">
                  <v>Jun 09</v>
                </pt>
                <pt idx="13">
                  <v>Jun 10</v>
                </pt>
                <pt idx="14">
                  <v>Jun 11</v>
                </pt>
                <pt idx="15">
                  <v>Jun 12</v>
                </pt>
                <pt idx="16">
                  <v>Jun 13</v>
                </pt>
                <pt idx="17">
                  <v>Jun 14</v>
                </pt>
                <pt idx="18">
                  <v>Jun 15</v>
                </pt>
                <pt idx="19">
                  <v>Jun 16</v>
                </pt>
                <pt idx="20">
                  <v>Jun 17</v>
                </pt>
                <pt idx="21">
                  <v>Jun 18</v>
                </pt>
                <pt idx="22">
                  <v>Jun 19</v>
                </pt>
                <pt idx="23">
                  <v>Jun 20</v>
                </pt>
                <pt idx="24">
                  <v>Jun 21</v>
                </pt>
                <pt idx="25">
                  <v>Jun 22</v>
                </pt>
                <pt idx="26">
                  <v>Jun 23</v>
                </pt>
                <pt idx="27">
                  <v>Jun 24</v>
                </pt>
                <pt idx="28">
                  <v>Jun 25</v>
                </pt>
                <pt idx="29">
                  <v>Jun 26</v>
                </pt>
                <pt idx="30">
                  <v>Jun 27</v>
                </pt>
                <pt idx="31">
                  <v>Jun 28</v>
                </pt>
                <pt idx="32">
                  <v>Jun 29</v>
                </pt>
                <pt idx="33">
                  <v>Jun 30</v>
                </pt>
              </strCache>
            </strRef>
          </cat>
          <val>
            <numRef>
              <f>Jun_2026!$E$18:$E$51</f>
              <numCache>
                <formatCode>\+0.000;\-0.000;0.000</formatCode>
                <ptCount val="3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\+0.000;\-0.000;0.0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Month-to-date vs record pace — July 2026 (°C vs 1991–2020)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MTD mean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Jul_2026!$A$22:$A$52</f>
              <strCache>
                <ptCount val="31"/>
                <pt idx="0">
                  <v>Jul 01</v>
                </pt>
                <pt idx="1">
                  <v>Jul 02</v>
                </pt>
                <pt idx="2">
                  <v>Jul 03</v>
                </pt>
                <pt idx="3">
                  <v>Jul 04</v>
                </pt>
                <pt idx="4">
                  <v>Jul 05</v>
                </pt>
                <pt idx="5">
                  <v>Jul 06</v>
                </pt>
                <pt idx="6">
                  <v>Jul 07</v>
                </pt>
                <pt idx="7">
                  <v>Jul 08</v>
                </pt>
                <pt idx="8">
                  <v>Jul 09</v>
                </pt>
                <pt idx="9">
                  <v>Jul 10</v>
                </pt>
                <pt idx="10">
                  <v>Jul 11</v>
                </pt>
                <pt idx="11">
                  <v>Jul 12</v>
                </pt>
                <pt idx="12">
                  <v>Jul 13</v>
                </pt>
                <pt idx="13">
                  <v>Jul 14</v>
                </pt>
                <pt idx="14">
                  <v>Jul 15</v>
                </pt>
                <pt idx="15">
                  <v>Jul 16</v>
                </pt>
                <pt idx="16">
                  <v>Jul 17</v>
                </pt>
                <pt idx="17">
                  <v>Jul 18</v>
                </pt>
                <pt idx="18">
                  <v>Jul 19</v>
                </pt>
                <pt idx="19">
                  <v>Jul 20</v>
                </pt>
                <pt idx="20">
                  <v>Jul 21</v>
                </pt>
                <pt idx="21">
                  <v>Jul 22</v>
                </pt>
                <pt idx="22">
                  <v>Jul 23</v>
                </pt>
                <pt idx="23">
                  <v>Jul 24</v>
                </pt>
                <pt idx="24">
                  <v>Jul 25</v>
                </pt>
                <pt idx="25">
                  <v>Jul 26</v>
                </pt>
                <pt idx="26">
                  <v>Jul 27</v>
                </pt>
                <pt idx="27">
                  <v>Jul 28</v>
                </pt>
                <pt idx="28">
                  <v>Jul 29</v>
                </pt>
                <pt idx="29">
                  <v>Jul 30</v>
                </pt>
                <pt idx="30">
                  <v>Jul 31</v>
                </pt>
              </strCache>
            </strRef>
          </cat>
          <val>
            <numRef>
              <f>Jul_2026!$F$22:$F$52</f>
              <numCache>
                <formatCode>\+0.000;\-0.000;0.000</formatCode>
                <ptCount val="31"/>
                <pt idx="0">
                  <v>0.617</v>
                </pt>
                <pt idx="1">
                  <v>0.62</v>
                </pt>
                <pt idx="2">
                  <v>0.6173333333333333</v>
                </pt>
                <pt idx="3">
                  <v>0.624</v>
                </pt>
                <pt idx="4">
                  <v>0.639</v>
                </pt>
                <pt idx="5">
                  <v>0.6486666666666666</v>
                </pt>
                <pt idx="6">
                  <v>0.6531428571428571</v>
                </pt>
                <pt idx="7">
                  <v>0.66</v>
                </pt>
                <pt idx="8">
                  <v>0.6631111111111111</v>
                </pt>
                <pt idx="9">
                  <v>0.6573</v>
                </pt>
                <pt idx="10">
                  <v>0.649</v>
                </pt>
                <pt idx="11">
                  <v>0.6382500000000001</v>
                </pt>
                <pt idx="12">
                  <v>0.6297692307692309</v>
                </pt>
                <pt idx="13">
                  <v>0.6247857142857144</v>
                </pt>
                <pt idx="14">
                  <v>0.6206666666666668</v>
                </pt>
                <pt idx="15">
                  <v>0.6176250000000001</v>
                </pt>
                <pt idx="16">
                  <v>0.6147058823529412</v>
                </pt>
                <pt idx="17">
                  <v>0.6138333333333335</v>
                </pt>
                <pt idx="18">
                  <v>0.616842105263158</v>
                </pt>
                <pt idx="19">
                  <v>0.6242500000000001</v>
                </pt>
                <pt idx="20">
                  <v>0.6323333333333334</v>
                </pt>
                <pt idx="21">
                  <v>0.6391818181818182</v>
                </pt>
                <pt idx="22">
                  <v>0.6448260869565218</v>
                </pt>
                <pt idx="23">
                  <v>0.6508750000000001</v>
                </pt>
                <pt idx="24">
                  <v>0.6564800000000001</v>
                </pt>
                <pt idx="25">
                  <v>0.6615384615384616</v>
                </pt>
                <pt idx="26">
                  <v>0.6656666666666667</v>
                </pt>
                <pt idx="27">
                  <v>0.668607142857143</v>
                </pt>
                <pt idx="28">
                  <v>0.6699655172413794</v>
                </pt>
                <pt idx="29">
                  <v>0.6704000000000001</v>
                </pt>
                <pt idx="30">
                  <v>0.6715483870967742</v>
                </pt>
              </numCache>
            </numRef>
          </val>
          <smooth val="0"/>
        </ser>
        <ser>
          <idx val="1"/>
          <order val="1"/>
          <tx>
            <v>2024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Jul_2026!$A$22:$A$52</f>
              <strCache>
                <ptCount val="31"/>
                <pt idx="0">
                  <v>Jul 01</v>
                </pt>
                <pt idx="1">
                  <v>Jul 02</v>
                </pt>
                <pt idx="2">
                  <v>Jul 03</v>
                </pt>
                <pt idx="3">
                  <v>Jul 04</v>
                </pt>
                <pt idx="4">
                  <v>Jul 05</v>
                </pt>
                <pt idx="5">
                  <v>Jul 06</v>
                </pt>
                <pt idx="6">
                  <v>Jul 07</v>
                </pt>
                <pt idx="7">
                  <v>Jul 08</v>
                </pt>
                <pt idx="8">
                  <v>Jul 09</v>
                </pt>
                <pt idx="9">
                  <v>Jul 10</v>
                </pt>
                <pt idx="10">
                  <v>Jul 11</v>
                </pt>
                <pt idx="11">
                  <v>Jul 12</v>
                </pt>
                <pt idx="12">
                  <v>Jul 13</v>
                </pt>
                <pt idx="13">
                  <v>Jul 14</v>
                </pt>
                <pt idx="14">
                  <v>Jul 15</v>
                </pt>
                <pt idx="15">
                  <v>Jul 16</v>
                </pt>
                <pt idx="16">
                  <v>Jul 17</v>
                </pt>
                <pt idx="17">
                  <v>Jul 18</v>
                </pt>
                <pt idx="18">
                  <v>Jul 19</v>
                </pt>
                <pt idx="19">
                  <v>Jul 20</v>
                </pt>
                <pt idx="20">
                  <v>Jul 21</v>
                </pt>
                <pt idx="21">
                  <v>Jul 22</v>
                </pt>
                <pt idx="22">
                  <v>Jul 23</v>
                </pt>
                <pt idx="23">
                  <v>Jul 24</v>
                </pt>
                <pt idx="24">
                  <v>Jul 25</v>
                </pt>
                <pt idx="25">
                  <v>Jul 26</v>
                </pt>
                <pt idx="26">
                  <v>Jul 27</v>
                </pt>
                <pt idx="27">
                  <v>Jul 28</v>
                </pt>
                <pt idx="28">
                  <v>Jul 29</v>
                </pt>
                <pt idx="29">
                  <v>Jul 30</v>
                </pt>
                <pt idx="30">
                  <v>Jul 31</v>
                </pt>
              </strCache>
            </strRef>
          </cat>
          <val>
            <numRef>
              <f>Jul_2026!$G$22:$G$52</f>
              <numCache>
                <formatCode>\+0.000;\-0.000;0.000</formatCode>
                <ptCount val="31"/>
                <pt idx="0">
                  <v>0.582</v>
                </pt>
                <pt idx="1">
                  <v>0.5620000000000001</v>
                </pt>
                <pt idx="2">
                  <v>0.5649999999999999</v>
                </pt>
                <pt idx="3">
                  <v>0.5655</v>
                </pt>
                <pt idx="4">
                  <v>0.5629999999999999</v>
                </pt>
                <pt idx="5">
                  <v>0.5538</v>
                </pt>
                <pt idx="6">
                  <v>0.5494</v>
                </pt>
                <pt idx="7">
                  <v>0.5535</v>
                </pt>
                <pt idx="8">
                  <v>0.5620000000000001</v>
                </pt>
                <pt idx="9">
                  <v>0.5733</v>
                </pt>
                <pt idx="10">
                  <v>0.5816</v>
                </pt>
                <pt idx="11">
                  <v>0.5822000000000001</v>
                </pt>
                <pt idx="12">
                  <v>0.5802</v>
                </pt>
                <pt idx="13">
                  <v>0.5764</v>
                </pt>
                <pt idx="14">
                  <v>0.5733</v>
                </pt>
                <pt idx="15">
                  <v>0.5738</v>
                </pt>
                <pt idx="16">
                  <v>0.5794</v>
                </pt>
                <pt idx="17">
                  <v>0.5899</v>
                </pt>
                <pt idx="18">
                  <v>0.6012</v>
                </pt>
                <pt idx="19">
                  <v>0.6104000000000001</v>
                </pt>
                <pt idx="20">
                  <v>0.6216</v>
                </pt>
                <pt idx="21">
                  <v>0.6345</v>
                </pt>
                <pt idx="22">
                  <v>0.646</v>
                </pt>
                <pt idx="23">
                  <v>0.6543</v>
                </pt>
                <pt idx="24">
                  <v>0.6605</v>
                </pt>
                <pt idx="25">
                  <v>0.6659</v>
                </pt>
                <pt idx="26">
                  <v>0.6717</v>
                </pt>
                <pt idx="27">
                  <v>0.6758999999999999</v>
                </pt>
                <pt idx="28">
                  <v>0.6784</v>
                </pt>
                <pt idx="29">
                  <v>0.6798</v>
                </pt>
                <pt idx="30">
                  <v>0.6811</v>
                </pt>
              </numCache>
            </numRef>
          </val>
          <smooth val="0"/>
        </ser>
        <ser>
          <idx val="2"/>
          <order val="2"/>
          <tx>
            <v>2023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Jul_2026!$A$22:$A$52</f>
              <strCache>
                <ptCount val="31"/>
                <pt idx="0">
                  <v>Jul 01</v>
                </pt>
                <pt idx="1">
                  <v>Jul 02</v>
                </pt>
                <pt idx="2">
                  <v>Jul 03</v>
                </pt>
                <pt idx="3">
                  <v>Jul 04</v>
                </pt>
                <pt idx="4">
                  <v>Jul 05</v>
                </pt>
                <pt idx="5">
                  <v>Jul 06</v>
                </pt>
                <pt idx="6">
                  <v>Jul 07</v>
                </pt>
                <pt idx="7">
                  <v>Jul 08</v>
                </pt>
                <pt idx="8">
                  <v>Jul 09</v>
                </pt>
                <pt idx="9">
                  <v>Jul 10</v>
                </pt>
                <pt idx="10">
                  <v>Jul 11</v>
                </pt>
                <pt idx="11">
                  <v>Jul 12</v>
                </pt>
                <pt idx="12">
                  <v>Jul 13</v>
                </pt>
                <pt idx="13">
                  <v>Jul 14</v>
                </pt>
                <pt idx="14">
                  <v>Jul 15</v>
                </pt>
                <pt idx="15">
                  <v>Jul 16</v>
                </pt>
                <pt idx="16">
                  <v>Jul 17</v>
                </pt>
                <pt idx="17">
                  <v>Jul 18</v>
                </pt>
                <pt idx="18">
                  <v>Jul 19</v>
                </pt>
                <pt idx="19">
                  <v>Jul 20</v>
                </pt>
                <pt idx="20">
                  <v>Jul 21</v>
                </pt>
                <pt idx="21">
                  <v>Jul 22</v>
                </pt>
                <pt idx="22">
                  <v>Jul 23</v>
                </pt>
                <pt idx="23">
                  <v>Jul 24</v>
                </pt>
                <pt idx="24">
                  <v>Jul 25</v>
                </pt>
                <pt idx="25">
                  <v>Jul 26</v>
                </pt>
                <pt idx="26">
                  <v>Jul 27</v>
                </pt>
                <pt idx="27">
                  <v>Jul 28</v>
                </pt>
                <pt idx="28">
                  <v>Jul 29</v>
                </pt>
                <pt idx="29">
                  <v>Jul 30</v>
                </pt>
                <pt idx="30">
                  <v>Jul 31</v>
                </pt>
              </strCache>
            </strRef>
          </cat>
          <val>
            <numRef>
              <f>Jul_2026!$H$22:$H$52</f>
              <numCache>
                <formatCode>\+0.000;\-0.000;0.000</formatCode>
                <ptCount val="31"/>
                <pt idx="0">
                  <v>0.399</v>
                </pt>
                <pt idx="1">
                  <v>0.452</v>
                </pt>
                <pt idx="2">
                  <v>0.536</v>
                </pt>
                <pt idx="3">
                  <v>0.6158</v>
                </pt>
                <pt idx="4">
                  <v>0.6657999999999999</v>
                </pt>
                <pt idx="5">
                  <v>0.7023</v>
                </pt>
                <pt idx="6">
                  <v>0.7259</v>
                </pt>
                <pt idx="7">
                  <v>0.74</v>
                </pt>
                <pt idx="8">
                  <v>0.7496</v>
                </pt>
                <pt idx="9">
                  <v>0.7568</v>
                </pt>
                <pt idx="10">
                  <v>0.7577</v>
                </pt>
                <pt idx="11">
                  <v>0.7542</v>
                </pt>
                <pt idx="12">
                  <v>0.7453</v>
                </pt>
                <pt idx="13">
                  <v>0.7354000000000001</v>
                </pt>
                <pt idx="14">
                  <v>0.7291</v>
                </pt>
                <pt idx="15">
                  <v>0.7261</v>
                </pt>
                <pt idx="16">
                  <v>0.7262</v>
                </pt>
                <pt idx="17">
                  <v>0.7282</v>
                </pt>
                <pt idx="18">
                  <v>0.7297</v>
                </pt>
                <pt idx="19">
                  <v>0.7306</v>
                </pt>
                <pt idx="20">
                  <v>0.7309</v>
                </pt>
                <pt idx="21">
                  <v>0.7309</v>
                </pt>
                <pt idx="22">
                  <v>0.7302999999999999</v>
                </pt>
                <pt idx="23">
                  <v>0.7295</v>
                </pt>
                <pt idx="24">
                  <v>0.7292999999999999</v>
                </pt>
                <pt idx="25">
                  <v>0.7302</v>
                </pt>
                <pt idx="26">
                  <v>0.7302999999999999</v>
                </pt>
                <pt idx="27">
                  <v>0.7295</v>
                </pt>
                <pt idx="28">
                  <v>0.728</v>
                </pt>
                <pt idx="29">
                  <v>0.7268</v>
                </pt>
                <pt idx="30">
                  <v>0.7249</v>
                </pt>
              </numCache>
            </numRef>
          </val>
          <smooth val="0"/>
        </ser>
        <ser>
          <idx val="3"/>
          <order val="3"/>
          <tx>
            <v>record pace +0.693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Jul_2026!$A$22:$A$52</f>
              <strCache>
                <ptCount val="31"/>
                <pt idx="0">
                  <v>Jul 01</v>
                </pt>
                <pt idx="1">
                  <v>Jul 02</v>
                </pt>
                <pt idx="2">
                  <v>Jul 03</v>
                </pt>
                <pt idx="3">
                  <v>Jul 04</v>
                </pt>
                <pt idx="4">
                  <v>Jul 05</v>
                </pt>
                <pt idx="5">
                  <v>Jul 06</v>
                </pt>
                <pt idx="6">
                  <v>Jul 07</v>
                </pt>
                <pt idx="7">
                  <v>Jul 08</v>
                </pt>
                <pt idx="8">
                  <v>Jul 09</v>
                </pt>
                <pt idx="9">
                  <v>Jul 10</v>
                </pt>
                <pt idx="10">
                  <v>Jul 11</v>
                </pt>
                <pt idx="11">
                  <v>Jul 12</v>
                </pt>
                <pt idx="12">
                  <v>Jul 13</v>
                </pt>
                <pt idx="13">
                  <v>Jul 14</v>
                </pt>
                <pt idx="14">
                  <v>Jul 15</v>
                </pt>
                <pt idx="15">
                  <v>Jul 16</v>
                </pt>
                <pt idx="16">
                  <v>Jul 17</v>
                </pt>
                <pt idx="17">
                  <v>Jul 18</v>
                </pt>
                <pt idx="18">
                  <v>Jul 19</v>
                </pt>
                <pt idx="19">
                  <v>Jul 20</v>
                </pt>
                <pt idx="20">
                  <v>Jul 21</v>
                </pt>
                <pt idx="21">
                  <v>Jul 22</v>
                </pt>
                <pt idx="22">
                  <v>Jul 23</v>
                </pt>
                <pt idx="23">
                  <v>Jul 24</v>
                </pt>
                <pt idx="24">
                  <v>Jul 25</v>
                </pt>
                <pt idx="25">
                  <v>Jul 26</v>
                </pt>
                <pt idx="26">
                  <v>Jul 27</v>
                </pt>
                <pt idx="27">
                  <v>Jul 28</v>
                </pt>
                <pt idx="28">
                  <v>Jul 29</v>
                </pt>
                <pt idx="29">
                  <v>Jul 30</v>
                </pt>
                <pt idx="30">
                  <v>Jul 31</v>
                </pt>
              </strCache>
            </strRef>
          </cat>
          <val>
            <numRef>
              <f>Jul_2026!$R$22:$R$52</f>
              <numCache>
                <formatCode>\+0.000;\-0.000;0.000</formatCode>
                <ptCount val="31"/>
                <pt idx="0">
                  <v>0.6932853447306265</v>
                </pt>
                <pt idx="1">
                  <v>0.6932853447306265</v>
                </pt>
                <pt idx="2">
                  <v>0.6932853447306265</v>
                </pt>
                <pt idx="3">
                  <v>0.6932853447306265</v>
                </pt>
                <pt idx="4">
                  <v>0.6932853447306265</v>
                </pt>
                <pt idx="5">
                  <v>0.6932853447306265</v>
                </pt>
                <pt idx="6">
                  <v>0.6932853447306265</v>
                </pt>
                <pt idx="7">
                  <v>0.6932853447306265</v>
                </pt>
                <pt idx="8">
                  <v>0.6932853447306265</v>
                </pt>
                <pt idx="9">
                  <v>0.6932853447306265</v>
                </pt>
                <pt idx="10">
                  <v>0.6932853447306265</v>
                </pt>
                <pt idx="11">
                  <v>0.6932853447306265</v>
                </pt>
                <pt idx="12">
                  <v>0.6932853447306265</v>
                </pt>
                <pt idx="13">
                  <v>0.6932853447306265</v>
                </pt>
                <pt idx="14">
                  <v>0.6932853447306265</v>
                </pt>
                <pt idx="15">
                  <v>0.6932853447306265</v>
                </pt>
                <pt idx="16">
                  <v>0.6932853447306265</v>
                </pt>
                <pt idx="17">
                  <v>0.6932853447306265</v>
                </pt>
                <pt idx="18">
                  <v>0.6932853447306265</v>
                </pt>
                <pt idx="19">
                  <v>0.6932853447306265</v>
                </pt>
                <pt idx="20">
                  <v>0.6932853447306265</v>
                </pt>
                <pt idx="21">
                  <v>0.6932853447306265</v>
                </pt>
                <pt idx="22">
                  <v>0.6932853447306265</v>
                </pt>
                <pt idx="23">
                  <v>0.6932853447306265</v>
                </pt>
                <pt idx="24">
                  <v>0.6932853447306265</v>
                </pt>
                <pt idx="25">
                  <v>0.6932853447306265</v>
                </pt>
                <pt idx="26">
                  <v>0.6932853447306265</v>
                </pt>
                <pt idx="27">
                  <v>0.6932853447306265</v>
                </pt>
                <pt idx="28">
                  <v>0.6932853447306265</v>
                </pt>
                <pt idx="29">
                  <v>0.6932853447306265</v>
                </pt>
                <pt idx="30">
                  <v>0.6932853447306265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\+0.000;\-0.000;0.0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Model vs market — YES in cents (gap = edge)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model YES ¢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Jul_2026!$A$18:$A$52</f>
              <strCache>
                <ptCount val="35"/>
                <pt idx="0">
                  <v>Jun 27</v>
                </pt>
                <pt idx="1">
                  <v>Jun 28</v>
                </pt>
                <pt idx="2">
                  <v>Jun 29</v>
                </pt>
                <pt idx="3">
                  <v>Jun 30</v>
                </pt>
                <pt idx="4">
                  <v>Jul 01</v>
                </pt>
                <pt idx="5">
                  <v>Jul 02</v>
                </pt>
                <pt idx="6">
                  <v>Jul 03</v>
                </pt>
                <pt idx="7">
                  <v>Jul 04</v>
                </pt>
                <pt idx="8">
                  <v>Jul 05</v>
                </pt>
                <pt idx="9">
                  <v>Jul 06</v>
                </pt>
                <pt idx="10">
                  <v>Jul 07</v>
                </pt>
                <pt idx="11">
                  <v>Jul 08</v>
                </pt>
                <pt idx="12">
                  <v>Jul 09</v>
                </pt>
                <pt idx="13">
                  <v>Jul 10</v>
                </pt>
                <pt idx="14">
                  <v>Jul 11</v>
                </pt>
                <pt idx="15">
                  <v>Jul 12</v>
                </pt>
                <pt idx="16">
                  <v>Jul 13</v>
                </pt>
                <pt idx="17">
                  <v>Jul 14</v>
                </pt>
                <pt idx="18">
                  <v>Jul 15</v>
                </pt>
                <pt idx="19">
                  <v>Jul 16</v>
                </pt>
                <pt idx="20">
                  <v>Jul 17</v>
                </pt>
                <pt idx="21">
                  <v>Jul 18</v>
                </pt>
                <pt idx="22">
                  <v>Jul 19</v>
                </pt>
                <pt idx="23">
                  <v>Jul 20</v>
                </pt>
                <pt idx="24">
                  <v>Jul 21</v>
                </pt>
                <pt idx="25">
                  <v>Jul 22</v>
                </pt>
                <pt idx="26">
                  <v>Jul 23</v>
                </pt>
                <pt idx="27">
                  <v>Jul 24</v>
                </pt>
                <pt idx="28">
                  <v>Jul 25</v>
                </pt>
                <pt idx="29">
                  <v>Jul 26</v>
                </pt>
                <pt idx="30">
                  <v>Jul 27</v>
                </pt>
                <pt idx="31">
                  <v>Jul 28</v>
                </pt>
                <pt idx="32">
                  <v>Jul 29</v>
                </pt>
                <pt idx="33">
                  <v>Jul 30</v>
                </pt>
                <pt idx="34">
                  <v>Jul 31</v>
                </pt>
              </strCache>
            </strRef>
          </cat>
          <val>
            <numRef>
              <f>Jul_2026!$S$18:$S$52</f>
              <numCache>
                <formatCode>0.0</formatCode>
                <ptCount val="3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0.05510087119603435</v>
                </pt>
                <pt idx="5">
                  <v>0.06582732291902094</v>
                </pt>
                <pt idx="6">
                  <v>0.07612429188971204</v>
                </pt>
                <pt idx="7">
                  <v>0.09582241576024941</v>
                </pt>
                <pt idx="8">
                  <v>0.1387657113471219</v>
                </pt>
                <pt idx="9">
                  <v>0.1976528942764011</v>
                </pt>
                <pt idx="10">
                  <v>0.2670418484649884</v>
                </pt>
                <pt idx="11">
                  <v>0.3823661509031351</v>
                </pt>
                <pt idx="12">
                  <v>0.5162903828641041</v>
                </pt>
                <pt idx="13">
                  <v>0.57305745557239</v>
                </pt>
                <pt idx="14">
                  <v>0.5818298094145469</v>
                </pt>
                <pt idx="15">
                  <v>0.5320277722388633</v>
                </pt>
                <pt idx="16">
                  <v>0.4951140793114983</v>
                </pt>
                <pt idx="17">
                  <v>0.4959140210750168</v>
                </pt>
                <pt idx="18">
                  <v>0.5001614420899858</v>
                </pt>
                <pt idx="19">
                  <v>0.514987970033598</v>
                </pt>
                <pt idx="20">
                  <v>0.5253692436031465</v>
                </pt>
                <pt idx="21">
                  <v>0.5751416079114446</v>
                </pt>
                <pt idx="22">
                  <v>0.7383353964421246</v>
                </pt>
                <pt idx="23">
                  <v>1.147780688097555</v>
                </pt>
                <pt idx="24">
                  <v>1.843545076537834</v>
                </pt>
                <pt idx="25">
                  <v>2.813283005318645</v>
                </pt>
                <pt idx="26">
                  <v>4.076230863366403</v>
                </pt>
                <pt idx="27">
                  <v>5.960329739425607</v>
                </pt>
                <pt idx="28">
                  <v>8.479527658389873</v>
                </pt>
                <pt idx="29">
                  <v>11.6764215959382</v>
                </pt>
                <pt idx="30">
                  <v>15.36112616647104</v>
                </pt>
                <pt idx="31">
                  <v>19.19499822074612</v>
                </pt>
                <pt idx="32">
                  <v>22.59455593707436</v>
                </pt>
                <pt idx="33">
                  <v>25.66473636357976</v>
                </pt>
                <pt idx="34">
                  <v>29.56882152541834</v>
                </pt>
              </numCache>
            </numRef>
          </val>
          <smooth val="0"/>
        </ser>
        <ser>
          <idx val="1"/>
          <order val="1"/>
          <tx>
            <v>market YES ¢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Jul_2026!$A$18:$A$52</f>
              <strCache>
                <ptCount val="35"/>
                <pt idx="0">
                  <v>Jun 27</v>
                </pt>
                <pt idx="1">
                  <v>Jun 28</v>
                </pt>
                <pt idx="2">
                  <v>Jun 29</v>
                </pt>
                <pt idx="3">
                  <v>Jun 30</v>
                </pt>
                <pt idx="4">
                  <v>Jul 01</v>
                </pt>
                <pt idx="5">
                  <v>Jul 02</v>
                </pt>
                <pt idx="6">
                  <v>Jul 03</v>
                </pt>
                <pt idx="7">
                  <v>Jul 04</v>
                </pt>
                <pt idx="8">
                  <v>Jul 05</v>
                </pt>
                <pt idx="9">
                  <v>Jul 06</v>
                </pt>
                <pt idx="10">
                  <v>Jul 07</v>
                </pt>
                <pt idx="11">
                  <v>Jul 08</v>
                </pt>
                <pt idx="12">
                  <v>Jul 09</v>
                </pt>
                <pt idx="13">
                  <v>Jul 10</v>
                </pt>
                <pt idx="14">
                  <v>Jul 11</v>
                </pt>
                <pt idx="15">
                  <v>Jul 12</v>
                </pt>
                <pt idx="16">
                  <v>Jul 13</v>
                </pt>
                <pt idx="17">
                  <v>Jul 14</v>
                </pt>
                <pt idx="18">
                  <v>Jul 15</v>
                </pt>
                <pt idx="19">
                  <v>Jul 16</v>
                </pt>
                <pt idx="20">
                  <v>Jul 17</v>
                </pt>
                <pt idx="21">
                  <v>Jul 18</v>
                </pt>
                <pt idx="22">
                  <v>Jul 19</v>
                </pt>
                <pt idx="23">
                  <v>Jul 20</v>
                </pt>
                <pt idx="24">
                  <v>Jul 21</v>
                </pt>
                <pt idx="25">
                  <v>Jul 22</v>
                </pt>
                <pt idx="26">
                  <v>Jul 23</v>
                </pt>
                <pt idx="27">
                  <v>Jul 24</v>
                </pt>
                <pt idx="28">
                  <v>Jul 25</v>
                </pt>
                <pt idx="29">
                  <v>Jul 26</v>
                </pt>
                <pt idx="30">
                  <v>Jul 27</v>
                </pt>
                <pt idx="31">
                  <v>Jul 28</v>
                </pt>
                <pt idx="32">
                  <v>Jul 29</v>
                </pt>
                <pt idx="33">
                  <v>Jul 30</v>
                </pt>
                <pt idx="34">
                  <v>Jul 31</v>
                </pt>
              </strCache>
            </strRef>
          </cat>
          <val>
            <numRef>
              <f>Jul_2026!$L$18:$L$52</f>
              <numCache>
                <formatCode>0.0</formatCode>
                <ptCount val="35"/>
                <pt idx="1">
                  <v>7</v>
                </pt>
                <pt idx="2">
                  <v>25</v>
                </pt>
                <pt idx="3">
                  <v>24</v>
                </pt>
                <pt idx="4">
                  <v>14</v>
                </pt>
                <pt idx="5">
                  <v>18</v>
                </pt>
                <pt idx="6">
                  <v>18</v>
                </pt>
                <pt idx="7">
                  <v>21</v>
                </pt>
                <pt idx="8">
                  <v>19</v>
                </pt>
                <pt idx="9">
                  <v>21</v>
                </pt>
                <pt idx="10">
                  <v>16</v>
                </pt>
                <pt idx="11">
                  <v>16</v>
                </pt>
                <pt idx="12">
                  <v>22</v>
                </pt>
                <pt idx="13">
                  <v>24</v>
                </pt>
                <pt idx="14">
                  <v>24</v>
                </pt>
                <pt idx="15">
                  <v>21</v>
                </pt>
                <pt idx="16">
                  <v>20</v>
                </pt>
                <pt idx="17">
                  <v>27</v>
                </pt>
                <pt idx="18">
                  <v>23</v>
                </pt>
                <pt idx="19">
                  <v>22</v>
                </pt>
                <pt idx="20">
                  <v>26</v>
                </pt>
                <pt idx="21">
                  <v>32</v>
                </pt>
                <pt idx="22">
                  <v>27</v>
                </pt>
                <pt idx="23">
                  <v>21</v>
                </pt>
                <pt idx="24">
                  <v>20</v>
                </pt>
                <pt idx="25">
                  <v>21</v>
                </pt>
                <pt idx="26">
                  <v>33</v>
                </pt>
                <pt idx="27">
                  <v>21</v>
                </pt>
                <pt idx="28">
                  <v>23</v>
                </pt>
                <pt idx="29">
                  <v>22</v>
                </pt>
                <pt idx="30">
                  <v>22</v>
                </pt>
                <pt idx="31">
                  <v>29</v>
                </pt>
                <pt idx="32">
                  <v>31</v>
                </pt>
                <pt idx="33">
                  <v>26</v>
                </pt>
                <pt idx="34">
                  <v>21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0.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Volume and open interest — KXHMONTH-26JUL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v>volume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Jul_2026!$A$18:$A$52</f>
              <strCache>
                <ptCount val="35"/>
                <pt idx="0">
                  <v>Jun 27</v>
                </pt>
                <pt idx="1">
                  <v>Jun 28</v>
                </pt>
                <pt idx="2">
                  <v>Jun 29</v>
                </pt>
                <pt idx="3">
                  <v>Jun 30</v>
                </pt>
                <pt idx="4">
                  <v>Jul 01</v>
                </pt>
                <pt idx="5">
                  <v>Jul 02</v>
                </pt>
                <pt idx="6">
                  <v>Jul 03</v>
                </pt>
                <pt idx="7">
                  <v>Jul 04</v>
                </pt>
                <pt idx="8">
                  <v>Jul 05</v>
                </pt>
                <pt idx="9">
                  <v>Jul 06</v>
                </pt>
                <pt idx="10">
                  <v>Jul 07</v>
                </pt>
                <pt idx="11">
                  <v>Jul 08</v>
                </pt>
                <pt idx="12">
                  <v>Jul 09</v>
                </pt>
                <pt idx="13">
                  <v>Jul 10</v>
                </pt>
                <pt idx="14">
                  <v>Jul 11</v>
                </pt>
                <pt idx="15">
                  <v>Jul 12</v>
                </pt>
                <pt idx="16">
                  <v>Jul 13</v>
                </pt>
                <pt idx="17">
                  <v>Jul 14</v>
                </pt>
                <pt idx="18">
                  <v>Jul 15</v>
                </pt>
                <pt idx="19">
                  <v>Jul 16</v>
                </pt>
                <pt idx="20">
                  <v>Jul 17</v>
                </pt>
                <pt idx="21">
                  <v>Jul 18</v>
                </pt>
                <pt idx="22">
                  <v>Jul 19</v>
                </pt>
                <pt idx="23">
                  <v>Jul 20</v>
                </pt>
                <pt idx="24">
                  <v>Jul 21</v>
                </pt>
                <pt idx="25">
                  <v>Jul 22</v>
                </pt>
                <pt idx="26">
                  <v>Jul 23</v>
                </pt>
                <pt idx="27">
                  <v>Jul 24</v>
                </pt>
                <pt idx="28">
                  <v>Jul 25</v>
                </pt>
                <pt idx="29">
                  <v>Jul 26</v>
                </pt>
                <pt idx="30">
                  <v>Jul 27</v>
                </pt>
                <pt idx="31">
                  <v>Jul 28</v>
                </pt>
                <pt idx="32">
                  <v>Jul 29</v>
                </pt>
                <pt idx="33">
                  <v>Jul 30</v>
                </pt>
                <pt idx="34">
                  <v>Jul 31</v>
                </pt>
              </strCache>
            </strRef>
          </cat>
          <val>
            <numRef>
              <f>Jul_2026!$N$18:$N$52</f>
              <numCache>
                <formatCode>#,##0</formatCode>
                <ptCount val="35"/>
                <pt idx="1">
                  <v>719.14</v>
                </pt>
                <pt idx="2">
                  <v>275.38</v>
                </pt>
                <pt idx="3">
                  <v>380.03</v>
                </pt>
                <pt idx="4">
                  <v>61.64</v>
                </pt>
                <pt idx="5">
                  <v>211.67</v>
                </pt>
                <pt idx="6">
                  <v>390.12</v>
                </pt>
                <pt idx="7">
                  <v>157.92</v>
                </pt>
                <pt idx="8">
                  <v>10</v>
                </pt>
                <pt idx="9">
                  <v>36.79</v>
                </pt>
                <pt idx="10">
                  <v>63.38</v>
                </pt>
                <pt idx="11">
                  <v>152.32</v>
                </pt>
                <pt idx="12">
                  <v>353.79</v>
                </pt>
                <pt idx="13">
                  <v>189.42</v>
                </pt>
                <pt idx="14">
                  <v>203.1</v>
                </pt>
                <pt idx="15">
                  <v>665.35</v>
                </pt>
                <pt idx="16">
                  <v>706.35</v>
                </pt>
                <pt idx="17">
                  <v>6366.54</v>
                </pt>
                <pt idx="18">
                  <v>2531.98</v>
                </pt>
                <pt idx="19">
                  <v>3079.38</v>
                </pt>
                <pt idx="20">
                  <v>1906.16</v>
                </pt>
                <pt idx="21">
                  <v>5549.78</v>
                </pt>
                <pt idx="22">
                  <v>4634.8</v>
                </pt>
                <pt idx="23">
                  <v>3722.17</v>
                </pt>
                <pt idx="24">
                  <v>5832.04</v>
                </pt>
                <pt idx="25">
                  <v>1205.35</v>
                </pt>
                <pt idx="26">
                  <v>6859.2</v>
                </pt>
                <pt idx="27">
                  <v>3973.15</v>
                </pt>
                <pt idx="28">
                  <v>1750.14</v>
                </pt>
                <pt idx="29">
                  <v>1228.22</v>
                </pt>
                <pt idx="30">
                  <v>2041.19</v>
                </pt>
                <pt idx="31">
                  <v>4459.59</v>
                </pt>
                <pt idx="32">
                  <v>4911.03</v>
                </pt>
                <pt idx="33">
                  <v>6851.49</v>
                </pt>
                <pt idx="34">
                  <v>7431.46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lineChart>
        <grouping val="standard"/>
        <varyColors val="1"/>
        <ser>
          <idx val="1"/>
          <order val="1"/>
          <tx>
            <v>open interest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Jul_2026!$O$18:$O$52</f>
              <numCache>
                <formatCode>#,##0</formatCode>
                <ptCount val="35"/>
                <pt idx="1">
                  <v>698.12</v>
                </pt>
                <pt idx="2">
                  <v>973.5</v>
                </pt>
                <pt idx="3">
                  <v>1103.53</v>
                </pt>
                <pt idx="4">
                  <v>1143.37</v>
                </pt>
                <pt idx="5">
                  <v>1343.4</v>
                </pt>
                <pt idx="6">
                  <v>1733.52</v>
                </pt>
                <pt idx="7">
                  <v>1685.1</v>
                </pt>
                <pt idx="8">
                  <v>1695.1</v>
                </pt>
                <pt idx="9">
                  <v>1731.89</v>
                </pt>
                <pt idx="10">
                  <v>1792.87</v>
                </pt>
                <pt idx="11">
                  <v>1933.42</v>
                </pt>
                <pt idx="12">
                  <v>2287.21</v>
                </pt>
                <pt idx="13">
                  <v>2218.04</v>
                </pt>
                <pt idx="14">
                  <v>2385.14</v>
                </pt>
                <pt idx="15">
                  <v>2873.89</v>
                </pt>
                <pt idx="16">
                  <v>3374.77</v>
                </pt>
                <pt idx="17">
                  <v>6124.14</v>
                </pt>
                <pt idx="18">
                  <v>8036.88</v>
                </pt>
                <pt idx="19">
                  <v>9738.620000000001</v>
                </pt>
                <pt idx="20">
                  <v>10075.43</v>
                </pt>
                <pt idx="21">
                  <v>12761.16</v>
                </pt>
                <pt idx="22">
                  <v>15516.5</v>
                </pt>
                <pt idx="23">
                  <v>15924.51</v>
                </pt>
                <pt idx="24">
                  <v>16275.84</v>
                </pt>
                <pt idx="25">
                  <v>17033.13</v>
                </pt>
                <pt idx="26">
                  <v>20074.41</v>
                </pt>
                <pt idx="27">
                  <v>21367.83</v>
                </pt>
                <pt idx="28">
                  <v>22118.14</v>
                </pt>
                <pt idx="29">
                  <v>22837.27</v>
                </pt>
                <pt idx="30">
                  <v>24002.95</v>
                </pt>
                <pt idx="31">
                  <v>26476.29</v>
                </pt>
                <pt idx="32">
                  <v>27327.72</v>
                </pt>
                <pt idx="33">
                  <v>31013</v>
                </pt>
                <pt idx="34">
                  <v>33069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Forecast error — Dev and Dev3 (spike tripwire, ±0.05)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Dev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Jul_2026!$A$18:$A$52</f>
              <strCache>
                <ptCount val="35"/>
                <pt idx="0">
                  <v>Jun 27</v>
                </pt>
                <pt idx="1">
                  <v>Jun 28</v>
                </pt>
                <pt idx="2">
                  <v>Jun 29</v>
                </pt>
                <pt idx="3">
                  <v>Jun 30</v>
                </pt>
                <pt idx="4">
                  <v>Jul 01</v>
                </pt>
                <pt idx="5">
                  <v>Jul 02</v>
                </pt>
                <pt idx="6">
                  <v>Jul 03</v>
                </pt>
                <pt idx="7">
                  <v>Jul 04</v>
                </pt>
                <pt idx="8">
                  <v>Jul 05</v>
                </pt>
                <pt idx="9">
                  <v>Jul 06</v>
                </pt>
                <pt idx="10">
                  <v>Jul 07</v>
                </pt>
                <pt idx="11">
                  <v>Jul 08</v>
                </pt>
                <pt idx="12">
                  <v>Jul 09</v>
                </pt>
                <pt idx="13">
                  <v>Jul 10</v>
                </pt>
                <pt idx="14">
                  <v>Jul 11</v>
                </pt>
                <pt idx="15">
                  <v>Jul 12</v>
                </pt>
                <pt idx="16">
                  <v>Jul 13</v>
                </pt>
                <pt idx="17">
                  <v>Jul 14</v>
                </pt>
                <pt idx="18">
                  <v>Jul 15</v>
                </pt>
                <pt idx="19">
                  <v>Jul 16</v>
                </pt>
                <pt idx="20">
                  <v>Jul 17</v>
                </pt>
                <pt idx="21">
                  <v>Jul 18</v>
                </pt>
                <pt idx="22">
                  <v>Jul 19</v>
                </pt>
                <pt idx="23">
                  <v>Jul 20</v>
                </pt>
                <pt idx="24">
                  <v>Jul 21</v>
                </pt>
                <pt idx="25">
                  <v>Jul 22</v>
                </pt>
                <pt idx="26">
                  <v>Jul 23</v>
                </pt>
                <pt idx="27">
                  <v>Jul 24</v>
                </pt>
                <pt idx="28">
                  <v>Jul 25</v>
                </pt>
                <pt idx="29">
                  <v>Jul 26</v>
                </pt>
                <pt idx="30">
                  <v>Jul 27</v>
                </pt>
                <pt idx="31">
                  <v>Jul 28</v>
                </pt>
                <pt idx="32">
                  <v>Jul 29</v>
                </pt>
                <pt idx="33">
                  <v>Jul 30</v>
                </pt>
                <pt idx="34">
                  <v>Jul 31</v>
                </pt>
              </strCache>
            </strRef>
          </cat>
          <val>
            <numRef>
              <f>Jul_2026!$D$18:$D$52</f>
              <numCache>
                <formatCode>\+0.000;\-0.000;0.000</formatCode>
                <ptCount val="3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-0.00340000000000007</v>
                </pt>
                <pt idx="14">
                  <v>0.02329999999999999</v>
                </pt>
                <pt idx="15">
                  <v>0.04660000000000003</v>
                </pt>
                <pt idx="16">
                  <v>0.1204</v>
                </pt>
                <pt idx="17">
                  <v>0.1466000000000001</v>
                </pt>
                <pt idx="18">
                  <v>0.1848</v>
                </pt>
                <pt idx="19">
                  <v>0.1239</v>
                </pt>
                <pt idx="20">
                  <v>0.1925999999999999</v>
                </pt>
                <pt idx="21">
                  <v>0.2234</v>
                </pt>
                <pt idx="22">
                  <v>0.1909</v>
                </pt>
                <pt idx="23">
                  <v>0.1482</v>
                </pt>
                <pt idx="24">
                  <v>0.1427</v>
                </pt>
                <pt idx="25">
                  <v>0.02700000000000002</v>
                </pt>
                <pt idx="26">
                  <v>0.02839999999999998</v>
                </pt>
                <pt idx="27">
                  <v>0.02970000000000006</v>
                </pt>
                <pt idx="28">
                  <v>0.1373000000000001</v>
                </pt>
                <pt idx="29">
                  <v>0.1418</v>
                </pt>
                <pt idx="30">
                  <v>0.1156</v>
                </pt>
                <pt idx="31">
                  <v>0.05469999999999997</v>
                </pt>
                <pt idx="32">
                  <v>-0.009800000000000031</v>
                </pt>
                <pt idx="33">
                  <v>0.01050000000000006</v>
                </pt>
                <pt idx="34">
                  <v>0.04069999999999996</v>
                </pt>
              </numCache>
            </numRef>
          </val>
          <smooth val="0"/>
        </ser>
        <ser>
          <idx val="1"/>
          <order val="1"/>
          <tx>
            <v>Dev3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Jul_2026!$A$18:$A$52</f>
              <strCache>
                <ptCount val="35"/>
                <pt idx="0">
                  <v>Jun 27</v>
                </pt>
                <pt idx="1">
                  <v>Jun 28</v>
                </pt>
                <pt idx="2">
                  <v>Jun 29</v>
                </pt>
                <pt idx="3">
                  <v>Jun 30</v>
                </pt>
                <pt idx="4">
                  <v>Jul 01</v>
                </pt>
                <pt idx="5">
                  <v>Jul 02</v>
                </pt>
                <pt idx="6">
                  <v>Jul 03</v>
                </pt>
                <pt idx="7">
                  <v>Jul 04</v>
                </pt>
                <pt idx="8">
                  <v>Jul 05</v>
                </pt>
                <pt idx="9">
                  <v>Jul 06</v>
                </pt>
                <pt idx="10">
                  <v>Jul 07</v>
                </pt>
                <pt idx="11">
                  <v>Jul 08</v>
                </pt>
                <pt idx="12">
                  <v>Jul 09</v>
                </pt>
                <pt idx="13">
                  <v>Jul 10</v>
                </pt>
                <pt idx="14">
                  <v>Jul 11</v>
                </pt>
                <pt idx="15">
                  <v>Jul 12</v>
                </pt>
                <pt idx="16">
                  <v>Jul 13</v>
                </pt>
                <pt idx="17">
                  <v>Jul 14</v>
                </pt>
                <pt idx="18">
                  <v>Jul 15</v>
                </pt>
                <pt idx="19">
                  <v>Jul 16</v>
                </pt>
                <pt idx="20">
                  <v>Jul 17</v>
                </pt>
                <pt idx="21">
                  <v>Jul 18</v>
                </pt>
                <pt idx="22">
                  <v>Jul 19</v>
                </pt>
                <pt idx="23">
                  <v>Jul 20</v>
                </pt>
                <pt idx="24">
                  <v>Jul 21</v>
                </pt>
                <pt idx="25">
                  <v>Jul 22</v>
                </pt>
                <pt idx="26">
                  <v>Jul 23</v>
                </pt>
                <pt idx="27">
                  <v>Jul 24</v>
                </pt>
                <pt idx="28">
                  <v>Jul 25</v>
                </pt>
                <pt idx="29">
                  <v>Jul 26</v>
                </pt>
                <pt idx="30">
                  <v>Jul 27</v>
                </pt>
                <pt idx="31">
                  <v>Jul 28</v>
                </pt>
                <pt idx="32">
                  <v>Jul 29</v>
                </pt>
                <pt idx="33">
                  <v>Jul 30</v>
                </pt>
                <pt idx="34">
                  <v>Jul 31</v>
                </pt>
              </strCache>
            </strRef>
          </cat>
          <val>
            <numRef>
              <f>Jul_2026!$E$18:$E$52</f>
              <numCache>
                <formatCode>\+0.000;\-0.000;0.000</formatCode>
                <ptCount val="3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0.02216666666666665</v>
                </pt>
                <pt idx="16">
                  <v>0.06343333333333334</v>
                </pt>
                <pt idx="17">
                  <v>0.1045333333333334</v>
                </pt>
                <pt idx="18">
                  <v>0.1506</v>
                </pt>
                <pt idx="19">
                  <v>0.1517666666666667</v>
                </pt>
                <pt idx="20">
                  <v>0.1670999999999999</v>
                </pt>
                <pt idx="21">
                  <v>0.1799666666666666</v>
                </pt>
                <pt idx="22">
                  <v>0.2023</v>
                </pt>
                <pt idx="23">
                  <v>0.1875</v>
                </pt>
                <pt idx="24">
                  <v>0.1606</v>
                </pt>
                <pt idx="25">
                  <v>0.1059666666666667</v>
                </pt>
                <pt idx="26">
                  <v>0.06603333333333335</v>
                </pt>
                <pt idx="27">
                  <v>0.02836666666666669</v>
                </pt>
                <pt idx="28">
                  <v>0.06513333333333338</v>
                </pt>
                <pt idx="29">
                  <v>0.1029333333333334</v>
                </pt>
                <pt idx="30">
                  <v>0.1315666666666667</v>
                </pt>
                <pt idx="31">
                  <v>0.1040333333333334</v>
                </pt>
                <pt idx="32">
                  <v>0.05349999999999999</v>
                </pt>
                <pt idx="33">
                  <v>0.01846666666666667</v>
                </pt>
                <pt idx="34">
                  <v>0.0138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\+0.000;\-0.000;0.0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Month-to-date vs record pace — August 2026 (°C vs 1991–2020)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MTD mean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Aug_2026!$A$22:$A$52</f>
              <strCache>
                <ptCount val="31"/>
                <pt idx="0">
                  <v>Aug 01</v>
                </pt>
                <pt idx="1">
                  <v>Aug 02</v>
                </pt>
                <pt idx="2">
                  <v>Aug 03</v>
                </pt>
                <pt idx="3">
                  <v>Aug 04</v>
                </pt>
                <pt idx="4">
                  <v>Aug 05</v>
                </pt>
                <pt idx="5">
                  <v>Aug 06</v>
                </pt>
                <pt idx="6">
                  <v>Aug 07</v>
                </pt>
                <pt idx="7">
                  <v>Aug 08</v>
                </pt>
                <pt idx="8">
                  <v>Aug 09</v>
                </pt>
                <pt idx="9">
                  <v>Aug 10</v>
                </pt>
                <pt idx="10">
                  <v>Aug 11</v>
                </pt>
                <pt idx="11">
                  <v>Aug 12</v>
                </pt>
                <pt idx="12">
                  <v>Aug 13</v>
                </pt>
                <pt idx="13">
                  <v>Aug 14</v>
                </pt>
                <pt idx="14">
                  <v>Aug 15</v>
                </pt>
                <pt idx="15">
                  <v>Aug 16</v>
                </pt>
                <pt idx="16">
                  <v>Aug 17</v>
                </pt>
                <pt idx="17">
                  <v>Aug 18</v>
                </pt>
                <pt idx="18">
                  <v>Aug 19</v>
                </pt>
                <pt idx="19">
                  <v>Aug 20</v>
                </pt>
                <pt idx="20">
                  <v>Aug 21</v>
                </pt>
                <pt idx="21">
                  <v>Aug 22</v>
                </pt>
                <pt idx="22">
                  <v>Aug 23</v>
                </pt>
                <pt idx="23">
                  <v>Aug 24</v>
                </pt>
                <pt idx="24">
                  <v>Aug 25</v>
                </pt>
                <pt idx="25">
                  <v>Aug 26</v>
                </pt>
                <pt idx="26">
                  <v>Aug 27</v>
                </pt>
                <pt idx="27">
                  <v>Aug 28</v>
                </pt>
                <pt idx="28">
                  <v>Aug 29</v>
                </pt>
                <pt idx="29">
                  <v>Aug 30</v>
                </pt>
                <pt idx="30">
                  <v>Aug 31</v>
                </pt>
              </strCache>
            </strRef>
          </cat>
          <val>
            <numRef>
              <f>Aug_2026!$F$22:$F$52</f>
              <numCache>
                <formatCode>\+0.000;\-0.000;0.000</formatCode>
                <ptCount val="31"/>
                <pt idx="0">
                  <v>0.704</v>
                </pt>
                <pt idx="1">
                  <v>0.702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  <smooth val="0"/>
        </ser>
        <ser>
          <idx val="1"/>
          <order val="1"/>
          <tx>
            <v>2024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Aug_2026!$A$22:$A$52</f>
              <strCache>
                <ptCount val="31"/>
                <pt idx="0">
                  <v>Aug 01</v>
                </pt>
                <pt idx="1">
                  <v>Aug 02</v>
                </pt>
                <pt idx="2">
                  <v>Aug 03</v>
                </pt>
                <pt idx="3">
                  <v>Aug 04</v>
                </pt>
                <pt idx="4">
                  <v>Aug 05</v>
                </pt>
                <pt idx="5">
                  <v>Aug 06</v>
                </pt>
                <pt idx="6">
                  <v>Aug 07</v>
                </pt>
                <pt idx="7">
                  <v>Aug 08</v>
                </pt>
                <pt idx="8">
                  <v>Aug 09</v>
                </pt>
                <pt idx="9">
                  <v>Aug 10</v>
                </pt>
                <pt idx="10">
                  <v>Aug 11</v>
                </pt>
                <pt idx="11">
                  <v>Aug 12</v>
                </pt>
                <pt idx="12">
                  <v>Aug 13</v>
                </pt>
                <pt idx="13">
                  <v>Aug 14</v>
                </pt>
                <pt idx="14">
                  <v>Aug 15</v>
                </pt>
                <pt idx="15">
                  <v>Aug 16</v>
                </pt>
                <pt idx="16">
                  <v>Aug 17</v>
                </pt>
                <pt idx="17">
                  <v>Aug 18</v>
                </pt>
                <pt idx="18">
                  <v>Aug 19</v>
                </pt>
                <pt idx="19">
                  <v>Aug 20</v>
                </pt>
                <pt idx="20">
                  <v>Aug 21</v>
                </pt>
                <pt idx="21">
                  <v>Aug 22</v>
                </pt>
                <pt idx="22">
                  <v>Aug 23</v>
                </pt>
                <pt idx="23">
                  <v>Aug 24</v>
                </pt>
                <pt idx="24">
                  <v>Aug 25</v>
                </pt>
                <pt idx="25">
                  <v>Aug 26</v>
                </pt>
                <pt idx="26">
                  <v>Aug 27</v>
                </pt>
                <pt idx="27">
                  <v>Aug 28</v>
                </pt>
                <pt idx="28">
                  <v>Aug 29</v>
                </pt>
                <pt idx="29">
                  <v>Aug 30</v>
                </pt>
                <pt idx="30">
                  <v>Aug 31</v>
                </pt>
              </strCache>
            </strRef>
          </cat>
          <val>
            <numRef>
              <f>Aug_2026!$G$22:$G$52</f>
              <numCache>
                <formatCode>\+0.000;\-0.000;0.000</formatCode>
                <ptCount val="31"/>
                <pt idx="0">
                  <v>0.729</v>
                </pt>
                <pt idx="1">
                  <v>0.7554999999999999</v>
                </pt>
                <pt idx="2">
                  <v>0.776</v>
                </pt>
                <pt idx="3">
                  <v>0.7805</v>
                </pt>
                <pt idx="4">
                  <v>0.7826</v>
                </pt>
                <pt idx="5">
                  <v>0.787</v>
                </pt>
                <pt idx="6">
                  <v>0.789</v>
                </pt>
                <pt idx="7">
                  <v>0.7849</v>
                </pt>
                <pt idx="8">
                  <v>0.7776999999999999</v>
                </pt>
                <pt idx="9">
                  <v>0.766</v>
                </pt>
                <pt idx="10">
                  <v>0.7538</v>
                </pt>
                <pt idx="11">
                  <v>0.7415</v>
                </pt>
                <pt idx="12">
                  <v>0.7278</v>
                </pt>
                <pt idx="13">
                  <v>0.7159</v>
                </pt>
                <pt idx="14">
                  <v>0.7097</v>
                </pt>
                <pt idx="15">
                  <v>0.7083</v>
                </pt>
                <pt idx="16">
                  <v>0.7094</v>
                </pt>
                <pt idx="17">
                  <v>0.7133</v>
                </pt>
                <pt idx="18">
                  <v>0.7181</v>
                </pt>
                <pt idx="19">
                  <v>0.7188</v>
                </pt>
                <pt idx="20">
                  <v>0.7176</v>
                </pt>
                <pt idx="21">
                  <v>0.7151999999999999</v>
                </pt>
                <pt idx="22">
                  <v>0.7121</v>
                </pt>
                <pt idx="23">
                  <v>0.7075</v>
                </pt>
                <pt idx="24">
                  <v>0.702</v>
                </pt>
                <pt idx="25">
                  <v>0.6999</v>
                </pt>
                <pt idx="26">
                  <v>0.7009</v>
                </pt>
                <pt idx="27">
                  <v>0.7040999999999999</v>
                </pt>
                <pt idx="28">
                  <v>0.7071</v>
                </pt>
                <pt idx="29">
                  <v>0.7101</v>
                </pt>
                <pt idx="30">
                  <v>0.7125</v>
                </pt>
              </numCache>
            </numRef>
          </val>
          <smooth val="0"/>
        </ser>
        <ser>
          <idx val="2"/>
          <order val="2"/>
          <tx>
            <v>2023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Aug_2026!$A$22:$A$52</f>
              <strCache>
                <ptCount val="31"/>
                <pt idx="0">
                  <v>Aug 01</v>
                </pt>
                <pt idx="1">
                  <v>Aug 02</v>
                </pt>
                <pt idx="2">
                  <v>Aug 03</v>
                </pt>
                <pt idx="3">
                  <v>Aug 04</v>
                </pt>
                <pt idx="4">
                  <v>Aug 05</v>
                </pt>
                <pt idx="5">
                  <v>Aug 06</v>
                </pt>
                <pt idx="6">
                  <v>Aug 07</v>
                </pt>
                <pt idx="7">
                  <v>Aug 08</v>
                </pt>
                <pt idx="8">
                  <v>Aug 09</v>
                </pt>
                <pt idx="9">
                  <v>Aug 10</v>
                </pt>
                <pt idx="10">
                  <v>Aug 11</v>
                </pt>
                <pt idx="11">
                  <v>Aug 12</v>
                </pt>
                <pt idx="12">
                  <v>Aug 13</v>
                </pt>
                <pt idx="13">
                  <v>Aug 14</v>
                </pt>
                <pt idx="14">
                  <v>Aug 15</v>
                </pt>
                <pt idx="15">
                  <v>Aug 16</v>
                </pt>
                <pt idx="16">
                  <v>Aug 17</v>
                </pt>
                <pt idx="17">
                  <v>Aug 18</v>
                </pt>
                <pt idx="18">
                  <v>Aug 19</v>
                </pt>
                <pt idx="19">
                  <v>Aug 20</v>
                </pt>
                <pt idx="20">
                  <v>Aug 21</v>
                </pt>
                <pt idx="21">
                  <v>Aug 22</v>
                </pt>
                <pt idx="22">
                  <v>Aug 23</v>
                </pt>
                <pt idx="23">
                  <v>Aug 24</v>
                </pt>
                <pt idx="24">
                  <v>Aug 25</v>
                </pt>
                <pt idx="25">
                  <v>Aug 26</v>
                </pt>
                <pt idx="26">
                  <v>Aug 27</v>
                </pt>
                <pt idx="27">
                  <v>Aug 28</v>
                </pt>
                <pt idx="28">
                  <v>Aug 29</v>
                </pt>
                <pt idx="29">
                  <v>Aug 30</v>
                </pt>
                <pt idx="30">
                  <v>Aug 31</v>
                </pt>
              </strCache>
            </strRef>
          </cat>
          <val>
            <numRef>
              <f>Aug_2026!$H$22:$H$52</f>
              <numCache>
                <formatCode>\+0.000;\-0.000;0.000</formatCode>
                <ptCount val="31"/>
                <pt idx="0">
                  <v>0.735</v>
                </pt>
                <pt idx="1">
                  <v>0.746</v>
                </pt>
                <pt idx="2">
                  <v>0.756</v>
                </pt>
                <pt idx="3">
                  <v>0.7658</v>
                </pt>
                <pt idx="4">
                  <v>0.7664</v>
                </pt>
                <pt idx="5">
                  <v>0.7605</v>
                </pt>
                <pt idx="6">
                  <v>0.7481</v>
                </pt>
                <pt idx="7">
                  <v>0.7339</v>
                </pt>
                <pt idx="8">
                  <v>0.7212</v>
                </pt>
                <pt idx="9">
                  <v>0.7112000000000001</v>
                </pt>
                <pt idx="10">
                  <v>0.701</v>
                </pt>
                <pt idx="11">
                  <v>0.6905</v>
                </pt>
                <pt idx="12">
                  <v>0.6816</v>
                </pt>
                <pt idx="13">
                  <v>0.6748</v>
                </pt>
                <pt idx="14">
                  <v>0.6733</v>
                </pt>
                <pt idx="15">
                  <v>0.6742</v>
                </pt>
                <pt idx="16">
                  <v>0.6752</v>
                </pt>
                <pt idx="17">
                  <v>0.6767</v>
                </pt>
                <pt idx="18">
                  <v>0.6763</v>
                </pt>
                <pt idx="19">
                  <v>0.6763</v>
                </pt>
                <pt idx="20">
                  <v>0.6784</v>
                </pt>
                <pt idx="21">
                  <v>0.6821</v>
                </pt>
                <pt idx="22">
                  <v>0.6861</v>
                </pt>
                <pt idx="23">
                  <v>0.6917</v>
                </pt>
                <pt idx="24">
                  <v>0.699</v>
                </pt>
                <pt idx="25">
                  <v>0.7038</v>
                </pt>
                <pt idx="26">
                  <v>0.7055</v>
                </pt>
                <pt idx="27">
                  <v>0.7067</v>
                </pt>
                <pt idx="28">
                  <v>0.7092000000000001</v>
                </pt>
                <pt idx="29">
                  <v>0.7109</v>
                </pt>
                <pt idx="30">
                  <v>0.7105</v>
                </pt>
              </numCache>
            </numRef>
          </val>
          <smooth val="0"/>
        </ser>
        <ser>
          <idx val="3"/>
          <order val="3"/>
          <tx>
            <v>record pace +0.692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Aug_2026!$A$22:$A$52</f>
              <strCache>
                <ptCount val="31"/>
                <pt idx="0">
                  <v>Aug 01</v>
                </pt>
                <pt idx="1">
                  <v>Aug 02</v>
                </pt>
                <pt idx="2">
                  <v>Aug 03</v>
                </pt>
                <pt idx="3">
                  <v>Aug 04</v>
                </pt>
                <pt idx="4">
                  <v>Aug 05</v>
                </pt>
                <pt idx="5">
                  <v>Aug 06</v>
                </pt>
                <pt idx="6">
                  <v>Aug 07</v>
                </pt>
                <pt idx="7">
                  <v>Aug 08</v>
                </pt>
                <pt idx="8">
                  <v>Aug 09</v>
                </pt>
                <pt idx="9">
                  <v>Aug 10</v>
                </pt>
                <pt idx="10">
                  <v>Aug 11</v>
                </pt>
                <pt idx="11">
                  <v>Aug 12</v>
                </pt>
                <pt idx="12">
                  <v>Aug 13</v>
                </pt>
                <pt idx="13">
                  <v>Aug 14</v>
                </pt>
                <pt idx="14">
                  <v>Aug 15</v>
                </pt>
                <pt idx="15">
                  <v>Aug 16</v>
                </pt>
                <pt idx="16">
                  <v>Aug 17</v>
                </pt>
                <pt idx="17">
                  <v>Aug 18</v>
                </pt>
                <pt idx="18">
                  <v>Aug 19</v>
                </pt>
                <pt idx="19">
                  <v>Aug 20</v>
                </pt>
                <pt idx="20">
                  <v>Aug 21</v>
                </pt>
                <pt idx="21">
                  <v>Aug 22</v>
                </pt>
                <pt idx="22">
                  <v>Aug 23</v>
                </pt>
                <pt idx="23">
                  <v>Aug 24</v>
                </pt>
                <pt idx="24">
                  <v>Aug 25</v>
                </pt>
                <pt idx="25">
                  <v>Aug 26</v>
                </pt>
                <pt idx="26">
                  <v>Aug 27</v>
                </pt>
                <pt idx="27">
                  <v>Aug 28</v>
                </pt>
                <pt idx="28">
                  <v>Aug 29</v>
                </pt>
                <pt idx="29">
                  <v>Aug 30</v>
                </pt>
                <pt idx="30">
                  <v>Aug 31</v>
                </pt>
              </strCache>
            </strRef>
          </cat>
          <val>
            <numRef>
              <f>Aug_2026!$R$22:$R$52</f>
              <numCache>
                <formatCode>\+0.000;\-0.000;0.000</formatCode>
                <ptCount val="31"/>
                <pt idx="0">
                  <v>0.6921717434244724</v>
                </pt>
                <pt idx="1">
                  <v>0.6921717434244724</v>
                </pt>
                <pt idx="2">
                  <v>0.6921717434244724</v>
                </pt>
                <pt idx="3">
                  <v>0.6921717434244724</v>
                </pt>
                <pt idx="4">
                  <v>0.6921717434244724</v>
                </pt>
                <pt idx="5">
                  <v>0.6921717434244724</v>
                </pt>
                <pt idx="6">
                  <v>0.6921717434244724</v>
                </pt>
                <pt idx="7">
                  <v>0.6921717434244724</v>
                </pt>
                <pt idx="8">
                  <v>0.6921717434244724</v>
                </pt>
                <pt idx="9">
                  <v>0.6921717434244724</v>
                </pt>
                <pt idx="10">
                  <v>0.6921717434244724</v>
                </pt>
                <pt idx="11">
                  <v>0.6921717434244724</v>
                </pt>
                <pt idx="12">
                  <v>0.6921717434244724</v>
                </pt>
                <pt idx="13">
                  <v>0.6921717434244724</v>
                </pt>
                <pt idx="14">
                  <v>0.6921717434244724</v>
                </pt>
                <pt idx="15">
                  <v>0.6921717434244724</v>
                </pt>
                <pt idx="16">
                  <v>0.6921717434244724</v>
                </pt>
                <pt idx="17">
                  <v>0.6921717434244724</v>
                </pt>
                <pt idx="18">
                  <v>0.6921717434244724</v>
                </pt>
                <pt idx="19">
                  <v>0.6921717434244724</v>
                </pt>
                <pt idx="20">
                  <v>0.6921717434244724</v>
                </pt>
                <pt idx="21">
                  <v>0.6921717434244724</v>
                </pt>
                <pt idx="22">
                  <v>0.6921717434244724</v>
                </pt>
                <pt idx="23">
                  <v>0.6921717434244724</v>
                </pt>
                <pt idx="24">
                  <v>0.6921717434244724</v>
                </pt>
                <pt idx="25">
                  <v>0.6921717434244724</v>
                </pt>
                <pt idx="26">
                  <v>0.6921717434244724</v>
                </pt>
                <pt idx="27">
                  <v>0.6921717434244724</v>
                </pt>
                <pt idx="28">
                  <v>0.6921717434244724</v>
                </pt>
                <pt idx="29">
                  <v>0.6921717434244724</v>
                </pt>
                <pt idx="30">
                  <v>0.6921717434244724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\+0.000;\-0.000;0.0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Model vs market — YES in cents (gap = edge)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model YES ¢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Aug_2026!$A$18:$A$52</f>
              <strCache>
                <ptCount val="35"/>
                <pt idx="0">
                  <v>Jul 28</v>
                </pt>
                <pt idx="1">
                  <v>Jul 29</v>
                </pt>
                <pt idx="2">
                  <v>Jul 30</v>
                </pt>
                <pt idx="3">
                  <v>Jul 31</v>
                </pt>
                <pt idx="4">
                  <v>Aug 01</v>
                </pt>
                <pt idx="5">
                  <v>Aug 02</v>
                </pt>
                <pt idx="6">
                  <v>Aug 03</v>
                </pt>
                <pt idx="7">
                  <v>Aug 04</v>
                </pt>
                <pt idx="8">
                  <v>Aug 05</v>
                </pt>
                <pt idx="9">
                  <v>Aug 06</v>
                </pt>
                <pt idx="10">
                  <v>Aug 07</v>
                </pt>
                <pt idx="11">
                  <v>Aug 08</v>
                </pt>
                <pt idx="12">
                  <v>Aug 09</v>
                </pt>
                <pt idx="13">
                  <v>Aug 10</v>
                </pt>
                <pt idx="14">
                  <v>Aug 11</v>
                </pt>
                <pt idx="15">
                  <v>Aug 12</v>
                </pt>
                <pt idx="16">
                  <v>Aug 13</v>
                </pt>
                <pt idx="17">
                  <v>Aug 14</v>
                </pt>
                <pt idx="18">
                  <v>Aug 15</v>
                </pt>
                <pt idx="19">
                  <v>Aug 16</v>
                </pt>
                <pt idx="20">
                  <v>Aug 17</v>
                </pt>
                <pt idx="21">
                  <v>Aug 18</v>
                </pt>
                <pt idx="22">
                  <v>Aug 19</v>
                </pt>
                <pt idx="23">
                  <v>Aug 20</v>
                </pt>
                <pt idx="24">
                  <v>Aug 21</v>
                </pt>
                <pt idx="25">
                  <v>Aug 22</v>
                </pt>
                <pt idx="26">
                  <v>Aug 23</v>
                </pt>
                <pt idx="27">
                  <v>Aug 24</v>
                </pt>
                <pt idx="28">
                  <v>Aug 25</v>
                </pt>
                <pt idx="29">
                  <v>Aug 26</v>
                </pt>
                <pt idx="30">
                  <v>Aug 27</v>
                </pt>
                <pt idx="31">
                  <v>Aug 28</v>
                </pt>
                <pt idx="32">
                  <v>Aug 29</v>
                </pt>
                <pt idx="33">
                  <v>Aug 30</v>
                </pt>
                <pt idx="34">
                  <v>Aug 31</v>
                </pt>
              </strCache>
            </strRef>
          </cat>
          <val>
            <numRef>
              <f>Aug_2026!$S$18:$S$52</f>
              <numCache>
                <formatCode>0.0</formatCode>
                <ptCount val="3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38.0362881839666</v>
                </pt>
                <pt idx="5">
                  <v>38.57273802935316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</numCache>
            </numRef>
          </val>
          <smooth val="0"/>
        </ser>
        <ser>
          <idx val="1"/>
          <order val="1"/>
          <tx>
            <v>market YES ¢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Aug_2026!$A$18:$A$52</f>
              <strCache>
                <ptCount val="35"/>
                <pt idx="0">
                  <v>Jul 28</v>
                </pt>
                <pt idx="1">
                  <v>Jul 29</v>
                </pt>
                <pt idx="2">
                  <v>Jul 30</v>
                </pt>
                <pt idx="3">
                  <v>Jul 31</v>
                </pt>
                <pt idx="4">
                  <v>Aug 01</v>
                </pt>
                <pt idx="5">
                  <v>Aug 02</v>
                </pt>
                <pt idx="6">
                  <v>Aug 03</v>
                </pt>
                <pt idx="7">
                  <v>Aug 04</v>
                </pt>
                <pt idx="8">
                  <v>Aug 05</v>
                </pt>
                <pt idx="9">
                  <v>Aug 06</v>
                </pt>
                <pt idx="10">
                  <v>Aug 07</v>
                </pt>
                <pt idx="11">
                  <v>Aug 08</v>
                </pt>
                <pt idx="12">
                  <v>Aug 09</v>
                </pt>
                <pt idx="13">
                  <v>Aug 10</v>
                </pt>
                <pt idx="14">
                  <v>Aug 11</v>
                </pt>
                <pt idx="15">
                  <v>Aug 12</v>
                </pt>
                <pt idx="16">
                  <v>Aug 13</v>
                </pt>
                <pt idx="17">
                  <v>Aug 14</v>
                </pt>
                <pt idx="18">
                  <v>Aug 15</v>
                </pt>
                <pt idx="19">
                  <v>Aug 16</v>
                </pt>
                <pt idx="20">
                  <v>Aug 17</v>
                </pt>
                <pt idx="21">
                  <v>Aug 18</v>
                </pt>
                <pt idx="22">
                  <v>Aug 19</v>
                </pt>
                <pt idx="23">
                  <v>Aug 20</v>
                </pt>
                <pt idx="24">
                  <v>Aug 21</v>
                </pt>
                <pt idx="25">
                  <v>Aug 22</v>
                </pt>
                <pt idx="26">
                  <v>Aug 23</v>
                </pt>
                <pt idx="27">
                  <v>Aug 24</v>
                </pt>
                <pt idx="28">
                  <v>Aug 25</v>
                </pt>
                <pt idx="29">
                  <v>Aug 26</v>
                </pt>
                <pt idx="30">
                  <v>Aug 27</v>
                </pt>
                <pt idx="31">
                  <v>Aug 28</v>
                </pt>
                <pt idx="32">
                  <v>Aug 29</v>
                </pt>
                <pt idx="33">
                  <v>Aug 30</v>
                </pt>
                <pt idx="34">
                  <v>Aug 31</v>
                </pt>
              </strCache>
            </strRef>
          </cat>
          <val>
            <numRef>
              <f>Aug_2026!$L$18:$L$52</f>
              <numCache>
                <formatCode>0.0</formatCode>
                <ptCount val="35"/>
                <pt idx="0">
                  <v>8</v>
                </pt>
                <pt idx="1">
                  <v>19</v>
                </pt>
                <pt idx="2">
                  <v>48</v>
                </pt>
                <pt idx="3">
                  <v>49</v>
                </pt>
                <pt idx="4">
                  <v>61</v>
                </pt>
                <pt idx="5">
                  <v>41</v>
                </pt>
                <pt idx="6">
                  <v>40</v>
                </pt>
                <pt idx="7">
                  <v>42</v>
                </pt>
                <pt idx="8">
                  <v>42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0.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Volume and open interest — KXHMONTH-26AUG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v>volume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Aug_2026!$A$18:$A$52</f>
              <strCache>
                <ptCount val="35"/>
                <pt idx="0">
                  <v>Jul 28</v>
                </pt>
                <pt idx="1">
                  <v>Jul 29</v>
                </pt>
                <pt idx="2">
                  <v>Jul 30</v>
                </pt>
                <pt idx="3">
                  <v>Jul 31</v>
                </pt>
                <pt idx="4">
                  <v>Aug 01</v>
                </pt>
                <pt idx="5">
                  <v>Aug 02</v>
                </pt>
                <pt idx="6">
                  <v>Aug 03</v>
                </pt>
                <pt idx="7">
                  <v>Aug 04</v>
                </pt>
                <pt idx="8">
                  <v>Aug 05</v>
                </pt>
                <pt idx="9">
                  <v>Aug 06</v>
                </pt>
                <pt idx="10">
                  <v>Aug 07</v>
                </pt>
                <pt idx="11">
                  <v>Aug 08</v>
                </pt>
                <pt idx="12">
                  <v>Aug 09</v>
                </pt>
                <pt idx="13">
                  <v>Aug 10</v>
                </pt>
                <pt idx="14">
                  <v>Aug 11</v>
                </pt>
                <pt idx="15">
                  <v>Aug 12</v>
                </pt>
                <pt idx="16">
                  <v>Aug 13</v>
                </pt>
                <pt idx="17">
                  <v>Aug 14</v>
                </pt>
                <pt idx="18">
                  <v>Aug 15</v>
                </pt>
                <pt idx="19">
                  <v>Aug 16</v>
                </pt>
                <pt idx="20">
                  <v>Aug 17</v>
                </pt>
                <pt idx="21">
                  <v>Aug 18</v>
                </pt>
                <pt idx="22">
                  <v>Aug 19</v>
                </pt>
                <pt idx="23">
                  <v>Aug 20</v>
                </pt>
                <pt idx="24">
                  <v>Aug 21</v>
                </pt>
                <pt idx="25">
                  <v>Aug 22</v>
                </pt>
                <pt idx="26">
                  <v>Aug 23</v>
                </pt>
                <pt idx="27">
                  <v>Aug 24</v>
                </pt>
                <pt idx="28">
                  <v>Aug 25</v>
                </pt>
                <pt idx="29">
                  <v>Aug 26</v>
                </pt>
                <pt idx="30">
                  <v>Aug 27</v>
                </pt>
                <pt idx="31">
                  <v>Aug 28</v>
                </pt>
                <pt idx="32">
                  <v>Aug 29</v>
                </pt>
                <pt idx="33">
                  <v>Aug 30</v>
                </pt>
                <pt idx="34">
                  <v>Aug 31</v>
                </pt>
              </strCache>
            </strRef>
          </cat>
          <val>
            <numRef>
              <f>Aug_2026!$N$18:$N$52</f>
              <numCache>
                <formatCode>#,##0</formatCode>
                <ptCount val="35"/>
                <pt idx="0">
                  <v>415.99</v>
                </pt>
                <pt idx="1">
                  <v>148.76</v>
                </pt>
                <pt idx="2">
                  <v>345.7</v>
                </pt>
                <pt idx="3">
                  <v>605.87</v>
                </pt>
                <pt idx="4">
                  <v>705.96</v>
                </pt>
                <pt idx="5">
                  <v>873.55</v>
                </pt>
                <pt idx="6">
                  <v>240.17</v>
                </pt>
                <pt idx="7">
                  <v>454.35</v>
                </pt>
                <pt idx="8">
                  <v>4.57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lineChart>
        <grouping val="standard"/>
        <varyColors val="1"/>
        <ser>
          <idx val="1"/>
          <order val="1"/>
          <tx>
            <v>open interest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Aug_2026!$O$18:$O$52</f>
              <numCache>
                <formatCode>#,##0</formatCode>
                <ptCount val="35"/>
                <pt idx="0">
                  <v>415.99</v>
                </pt>
                <pt idx="1">
                  <v>564.75</v>
                </pt>
                <pt idx="2">
                  <v>880.6900000000001</v>
                </pt>
                <pt idx="3">
                  <v>948.14</v>
                </pt>
                <pt idx="4">
                  <v>1582.2</v>
                </pt>
                <pt idx="5">
                  <v>1854.83</v>
                </pt>
                <pt idx="6">
                  <v>2002.83</v>
                </pt>
                <pt idx="7">
                  <v>1889.8</v>
                </pt>
                <pt idx="8">
                  <v>1889.8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Forecast error — Dev and Dev3 (spike tripwire, ±0.05)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Dev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Aug_2026!$A$18:$A$52</f>
              <strCache>
                <ptCount val="35"/>
                <pt idx="0">
                  <v>Jul 28</v>
                </pt>
                <pt idx="1">
                  <v>Jul 29</v>
                </pt>
                <pt idx="2">
                  <v>Jul 30</v>
                </pt>
                <pt idx="3">
                  <v>Jul 31</v>
                </pt>
                <pt idx="4">
                  <v>Aug 01</v>
                </pt>
                <pt idx="5">
                  <v>Aug 02</v>
                </pt>
                <pt idx="6">
                  <v>Aug 03</v>
                </pt>
                <pt idx="7">
                  <v>Aug 04</v>
                </pt>
                <pt idx="8">
                  <v>Aug 05</v>
                </pt>
                <pt idx="9">
                  <v>Aug 06</v>
                </pt>
                <pt idx="10">
                  <v>Aug 07</v>
                </pt>
                <pt idx="11">
                  <v>Aug 08</v>
                </pt>
                <pt idx="12">
                  <v>Aug 09</v>
                </pt>
                <pt idx="13">
                  <v>Aug 10</v>
                </pt>
                <pt idx="14">
                  <v>Aug 11</v>
                </pt>
                <pt idx="15">
                  <v>Aug 12</v>
                </pt>
                <pt idx="16">
                  <v>Aug 13</v>
                </pt>
                <pt idx="17">
                  <v>Aug 14</v>
                </pt>
                <pt idx="18">
                  <v>Aug 15</v>
                </pt>
                <pt idx="19">
                  <v>Aug 16</v>
                </pt>
                <pt idx="20">
                  <v>Aug 17</v>
                </pt>
                <pt idx="21">
                  <v>Aug 18</v>
                </pt>
                <pt idx="22">
                  <v>Aug 19</v>
                </pt>
                <pt idx="23">
                  <v>Aug 20</v>
                </pt>
                <pt idx="24">
                  <v>Aug 21</v>
                </pt>
                <pt idx="25">
                  <v>Aug 22</v>
                </pt>
                <pt idx="26">
                  <v>Aug 23</v>
                </pt>
                <pt idx="27">
                  <v>Aug 24</v>
                </pt>
                <pt idx="28">
                  <v>Aug 25</v>
                </pt>
                <pt idx="29">
                  <v>Aug 26</v>
                </pt>
                <pt idx="30">
                  <v>Aug 27</v>
                </pt>
                <pt idx="31">
                  <v>Aug 28</v>
                </pt>
                <pt idx="32">
                  <v>Aug 29</v>
                </pt>
                <pt idx="33">
                  <v>Aug 30</v>
                </pt>
                <pt idx="34">
                  <v>Aug 31</v>
                </pt>
              </strCache>
            </strRef>
          </cat>
          <val>
            <numRef>
              <f>Aug_2026!$D$18:$D$52</f>
              <numCache>
                <formatCode>\+0.000;\-0.000;0.000</formatCode>
                <ptCount val="3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0.07619999999999993</v>
                </pt>
                <pt idx="5">
                  <v>0.1143999999999999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</numCache>
            </numRef>
          </val>
          <smooth val="0"/>
        </ser>
        <ser>
          <idx val="1"/>
          <order val="1"/>
          <tx>
            <v>Dev3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Aug_2026!$A$18:$A$52</f>
              <strCache>
                <ptCount val="35"/>
                <pt idx="0">
                  <v>Jul 28</v>
                </pt>
                <pt idx="1">
                  <v>Jul 29</v>
                </pt>
                <pt idx="2">
                  <v>Jul 30</v>
                </pt>
                <pt idx="3">
                  <v>Jul 31</v>
                </pt>
                <pt idx="4">
                  <v>Aug 01</v>
                </pt>
                <pt idx="5">
                  <v>Aug 02</v>
                </pt>
                <pt idx="6">
                  <v>Aug 03</v>
                </pt>
                <pt idx="7">
                  <v>Aug 04</v>
                </pt>
                <pt idx="8">
                  <v>Aug 05</v>
                </pt>
                <pt idx="9">
                  <v>Aug 06</v>
                </pt>
                <pt idx="10">
                  <v>Aug 07</v>
                </pt>
                <pt idx="11">
                  <v>Aug 08</v>
                </pt>
                <pt idx="12">
                  <v>Aug 09</v>
                </pt>
                <pt idx="13">
                  <v>Aug 10</v>
                </pt>
                <pt idx="14">
                  <v>Aug 11</v>
                </pt>
                <pt idx="15">
                  <v>Aug 12</v>
                </pt>
                <pt idx="16">
                  <v>Aug 13</v>
                </pt>
                <pt idx="17">
                  <v>Aug 14</v>
                </pt>
                <pt idx="18">
                  <v>Aug 15</v>
                </pt>
                <pt idx="19">
                  <v>Aug 16</v>
                </pt>
                <pt idx="20">
                  <v>Aug 17</v>
                </pt>
                <pt idx="21">
                  <v>Aug 18</v>
                </pt>
                <pt idx="22">
                  <v>Aug 19</v>
                </pt>
                <pt idx="23">
                  <v>Aug 20</v>
                </pt>
                <pt idx="24">
                  <v>Aug 21</v>
                </pt>
                <pt idx="25">
                  <v>Aug 22</v>
                </pt>
                <pt idx="26">
                  <v>Aug 23</v>
                </pt>
                <pt idx="27">
                  <v>Aug 24</v>
                </pt>
                <pt idx="28">
                  <v>Aug 25</v>
                </pt>
                <pt idx="29">
                  <v>Aug 26</v>
                </pt>
                <pt idx="30">
                  <v>Aug 27</v>
                </pt>
                <pt idx="31">
                  <v>Aug 28</v>
                </pt>
                <pt idx="32">
                  <v>Aug 29</v>
                </pt>
                <pt idx="33">
                  <v>Aug 30</v>
                </pt>
                <pt idx="34">
                  <v>Aug 31</v>
                </pt>
              </strCache>
            </strRef>
          </cat>
          <val>
            <numRef>
              <f>Aug_2026!$E$18:$E$52</f>
              <numCache>
                <formatCode>\+0.000;\-0.000;0.000</formatCode>
                <ptCount val="3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\+0.000;\-0.000;0.0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Month-to-date vs record pace — September 2026 (°C vs 1991–2020)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MTD mean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Sep_2026!$A$22:$A$51</f>
              <strCache>
                <ptCount val="30"/>
                <pt idx="0">
                  <v>Sep 01</v>
                </pt>
                <pt idx="1">
                  <v>Sep 02</v>
                </pt>
                <pt idx="2">
                  <v>Sep 03</v>
                </pt>
                <pt idx="3">
                  <v>Sep 04</v>
                </pt>
                <pt idx="4">
                  <v>Sep 05</v>
                </pt>
                <pt idx="5">
                  <v>Sep 06</v>
                </pt>
                <pt idx="6">
                  <v>Sep 07</v>
                </pt>
                <pt idx="7">
                  <v>Sep 08</v>
                </pt>
                <pt idx="8">
                  <v>Sep 09</v>
                </pt>
                <pt idx="9">
                  <v>Sep 10</v>
                </pt>
                <pt idx="10">
                  <v>Sep 11</v>
                </pt>
                <pt idx="11">
                  <v>Sep 12</v>
                </pt>
                <pt idx="12">
                  <v>Sep 13</v>
                </pt>
                <pt idx="13">
                  <v>Sep 14</v>
                </pt>
                <pt idx="14">
                  <v>Sep 15</v>
                </pt>
                <pt idx="15">
                  <v>Sep 16</v>
                </pt>
                <pt idx="16">
                  <v>Sep 17</v>
                </pt>
                <pt idx="17">
                  <v>Sep 18</v>
                </pt>
                <pt idx="18">
                  <v>Sep 19</v>
                </pt>
                <pt idx="19">
                  <v>Sep 20</v>
                </pt>
                <pt idx="20">
                  <v>Sep 21</v>
                </pt>
                <pt idx="21">
                  <v>Sep 22</v>
                </pt>
                <pt idx="22">
                  <v>Sep 23</v>
                </pt>
                <pt idx="23">
                  <v>Sep 24</v>
                </pt>
                <pt idx="24">
                  <v>Sep 25</v>
                </pt>
                <pt idx="25">
                  <v>Sep 26</v>
                </pt>
                <pt idx="26">
                  <v>Sep 27</v>
                </pt>
                <pt idx="27">
                  <v>Sep 28</v>
                </pt>
                <pt idx="28">
                  <v>Sep 29</v>
                </pt>
                <pt idx="29">
                  <v>Sep 30</v>
                </pt>
              </strCache>
            </strRef>
          </cat>
          <val>
            <numRef>
              <f>Sep_2026!$F$22:$F$51</f>
              <numCache>
                <formatCode>\+0.000;\-0.000;0.000</formatCode>
                <ptCount val="3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</numCache>
            </numRef>
          </val>
          <smooth val="0"/>
        </ser>
        <ser>
          <idx val="1"/>
          <order val="1"/>
          <tx>
            <v>2024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Sep_2026!$A$22:$A$51</f>
              <strCache>
                <ptCount val="30"/>
                <pt idx="0">
                  <v>Sep 01</v>
                </pt>
                <pt idx="1">
                  <v>Sep 02</v>
                </pt>
                <pt idx="2">
                  <v>Sep 03</v>
                </pt>
                <pt idx="3">
                  <v>Sep 04</v>
                </pt>
                <pt idx="4">
                  <v>Sep 05</v>
                </pt>
                <pt idx="5">
                  <v>Sep 06</v>
                </pt>
                <pt idx="6">
                  <v>Sep 07</v>
                </pt>
                <pt idx="7">
                  <v>Sep 08</v>
                </pt>
                <pt idx="8">
                  <v>Sep 09</v>
                </pt>
                <pt idx="9">
                  <v>Sep 10</v>
                </pt>
                <pt idx="10">
                  <v>Sep 11</v>
                </pt>
                <pt idx="11">
                  <v>Sep 12</v>
                </pt>
                <pt idx="12">
                  <v>Sep 13</v>
                </pt>
                <pt idx="13">
                  <v>Sep 14</v>
                </pt>
                <pt idx="14">
                  <v>Sep 15</v>
                </pt>
                <pt idx="15">
                  <v>Sep 16</v>
                </pt>
                <pt idx="16">
                  <v>Sep 17</v>
                </pt>
                <pt idx="17">
                  <v>Sep 18</v>
                </pt>
                <pt idx="18">
                  <v>Sep 19</v>
                </pt>
                <pt idx="19">
                  <v>Sep 20</v>
                </pt>
                <pt idx="20">
                  <v>Sep 21</v>
                </pt>
                <pt idx="21">
                  <v>Sep 22</v>
                </pt>
                <pt idx="22">
                  <v>Sep 23</v>
                </pt>
                <pt idx="23">
                  <v>Sep 24</v>
                </pt>
                <pt idx="24">
                  <v>Sep 25</v>
                </pt>
                <pt idx="25">
                  <v>Sep 26</v>
                </pt>
                <pt idx="26">
                  <v>Sep 27</v>
                </pt>
                <pt idx="27">
                  <v>Sep 28</v>
                </pt>
                <pt idx="28">
                  <v>Sep 29</v>
                </pt>
                <pt idx="29">
                  <v>Sep 30</v>
                </pt>
              </strCache>
            </strRef>
          </cat>
          <val>
            <numRef>
              <f>Sep_2026!$G$22:$G$51</f>
              <numCache>
                <formatCode>\+0.000;\-0.000;0.000</formatCode>
                <ptCount val="30"/>
                <pt idx="0">
                  <v>0.789</v>
                </pt>
                <pt idx="1">
                  <v>0.7955</v>
                </pt>
                <pt idx="2">
                  <v>0.786</v>
                </pt>
                <pt idx="3">
                  <v>0.7655</v>
                </pt>
                <pt idx="4">
                  <v>0.744</v>
                </pt>
                <pt idx="5">
                  <v>0.729</v>
                </pt>
                <pt idx="6">
                  <v>0.7282999999999999</v>
                </pt>
                <pt idx="7">
                  <v>0.7311</v>
                </pt>
                <pt idx="8">
                  <v>0.7332</v>
                </pt>
                <pt idx="9">
                  <v>0.7363</v>
                </pt>
                <pt idx="10">
                  <v>0.7407</v>
                </pt>
                <pt idx="11">
                  <v>0.7418</v>
                </pt>
                <pt idx="12">
                  <v>0.7425</v>
                </pt>
                <pt idx="13">
                  <v>0.7402</v>
                </pt>
                <pt idx="14">
                  <v>0.7344000000000001</v>
                </pt>
                <pt idx="15">
                  <v>0.7271</v>
                </pt>
                <pt idx="16">
                  <v>0.7209</v>
                </pt>
                <pt idx="17">
                  <v>0.7186</v>
                </pt>
                <pt idx="18">
                  <v>0.717</v>
                </pt>
                <pt idx="19">
                  <v>0.713</v>
                </pt>
                <pt idx="20">
                  <v>0.7083</v>
                </pt>
                <pt idx="21">
                  <v>0.706</v>
                </pt>
                <pt idx="22">
                  <v>0.704</v>
                </pt>
                <pt idx="23">
                  <v>0.7057</v>
                </pt>
                <pt idx="24">
                  <v>0.7098</v>
                </pt>
                <pt idx="25">
                  <v>0.7143</v>
                </pt>
                <pt idx="26">
                  <v>0.7183</v>
                </pt>
                <pt idx="27">
                  <v>0.7211</v>
                </pt>
                <pt idx="28">
                  <v>0.7229</v>
                </pt>
                <pt idx="29">
                  <v>0.7237</v>
                </pt>
              </numCache>
            </numRef>
          </val>
          <smooth val="0"/>
        </ser>
        <ser>
          <idx val="2"/>
          <order val="2"/>
          <tx>
            <v>2023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Sep_2026!$A$22:$A$51</f>
              <strCache>
                <ptCount val="30"/>
                <pt idx="0">
                  <v>Sep 01</v>
                </pt>
                <pt idx="1">
                  <v>Sep 02</v>
                </pt>
                <pt idx="2">
                  <v>Sep 03</v>
                </pt>
                <pt idx="3">
                  <v>Sep 04</v>
                </pt>
                <pt idx="4">
                  <v>Sep 05</v>
                </pt>
                <pt idx="5">
                  <v>Sep 06</v>
                </pt>
                <pt idx="6">
                  <v>Sep 07</v>
                </pt>
                <pt idx="7">
                  <v>Sep 08</v>
                </pt>
                <pt idx="8">
                  <v>Sep 09</v>
                </pt>
                <pt idx="9">
                  <v>Sep 10</v>
                </pt>
                <pt idx="10">
                  <v>Sep 11</v>
                </pt>
                <pt idx="11">
                  <v>Sep 12</v>
                </pt>
                <pt idx="12">
                  <v>Sep 13</v>
                </pt>
                <pt idx="13">
                  <v>Sep 14</v>
                </pt>
                <pt idx="14">
                  <v>Sep 15</v>
                </pt>
                <pt idx="15">
                  <v>Sep 16</v>
                </pt>
                <pt idx="16">
                  <v>Sep 17</v>
                </pt>
                <pt idx="17">
                  <v>Sep 18</v>
                </pt>
                <pt idx="18">
                  <v>Sep 19</v>
                </pt>
                <pt idx="19">
                  <v>Sep 20</v>
                </pt>
                <pt idx="20">
                  <v>Sep 21</v>
                </pt>
                <pt idx="21">
                  <v>Sep 22</v>
                </pt>
                <pt idx="22">
                  <v>Sep 23</v>
                </pt>
                <pt idx="23">
                  <v>Sep 24</v>
                </pt>
                <pt idx="24">
                  <v>Sep 25</v>
                </pt>
                <pt idx="25">
                  <v>Sep 26</v>
                </pt>
                <pt idx="26">
                  <v>Sep 27</v>
                </pt>
                <pt idx="27">
                  <v>Sep 28</v>
                </pt>
                <pt idx="28">
                  <v>Sep 29</v>
                </pt>
                <pt idx="29">
                  <v>Sep 30</v>
                </pt>
              </strCache>
            </strRef>
          </cat>
          <val>
            <numRef>
              <f>Sep_2026!$H$22:$H$51</f>
              <numCache>
                <formatCode>\+0.000;\-0.000;0.000</formatCode>
                <ptCount val="30"/>
                <pt idx="0">
                  <v>0.717</v>
                </pt>
                <pt idx="1">
                  <v>0.7285</v>
                </pt>
                <pt idx="2">
                  <v>0.715</v>
                </pt>
                <pt idx="3">
                  <v>0.7005</v>
                </pt>
                <pt idx="4">
                  <v>0.6909999999999999</v>
                </pt>
                <pt idx="5">
                  <v>0.6995</v>
                </pt>
                <pt idx="6">
                  <v>0.7099</v>
                </pt>
                <pt idx="7">
                  <v>0.7181</v>
                </pt>
                <pt idx="8">
                  <v>0.7324000000000001</v>
                </pt>
                <pt idx="9">
                  <v>0.7514</v>
                </pt>
                <pt idx="10">
                  <v>0.7721</v>
                </pt>
                <pt idx="11">
                  <v>0.7851</v>
                </pt>
                <pt idx="12">
                  <v>0.7932</v>
                </pt>
                <pt idx="13">
                  <v>0.8018999999999999</v>
                </pt>
                <pt idx="14">
                  <v>0.8157</v>
                </pt>
                <pt idx="15">
                  <v>0.8317</v>
                </pt>
                <pt idx="16">
                  <v>0.8448</v>
                </pt>
                <pt idx="17">
                  <v>0.8535</v>
                </pt>
                <pt idx="18">
                  <v>0.8596</v>
                </pt>
                <pt idx="19">
                  <v>0.8658</v>
                </pt>
                <pt idx="20">
                  <v>0.8744</v>
                </pt>
                <pt idx="21">
                  <v>0.8845</v>
                </pt>
                <pt idx="22">
                  <v>0.8937</v>
                </pt>
                <pt idx="23">
                  <v>0.9022</v>
                </pt>
                <pt idx="24">
                  <v>0.9082</v>
                </pt>
                <pt idx="25">
                  <v>0.9135</v>
                </pt>
                <pt idx="26">
                  <v>0.9177</v>
                </pt>
                <pt idx="27">
                  <v>0.9217</v>
                </pt>
                <pt idx="28">
                  <v>0.9246</v>
                </pt>
                <pt idx="29">
                  <v>0.9263</v>
                </pt>
              </numCache>
            </numRef>
          </val>
          <smooth val="0"/>
        </ser>
        <ser>
          <idx val="3"/>
          <order val="3"/>
          <tx>
            <v>record pace +0.927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Sep_2026!$A$22:$A$51</f>
              <strCache>
                <ptCount val="30"/>
                <pt idx="0">
                  <v>Sep 01</v>
                </pt>
                <pt idx="1">
                  <v>Sep 02</v>
                </pt>
                <pt idx="2">
                  <v>Sep 03</v>
                </pt>
                <pt idx="3">
                  <v>Sep 04</v>
                </pt>
                <pt idx="4">
                  <v>Sep 05</v>
                </pt>
                <pt idx="5">
                  <v>Sep 06</v>
                </pt>
                <pt idx="6">
                  <v>Sep 07</v>
                </pt>
                <pt idx="7">
                  <v>Sep 08</v>
                </pt>
                <pt idx="8">
                  <v>Sep 09</v>
                </pt>
                <pt idx="9">
                  <v>Sep 10</v>
                </pt>
                <pt idx="10">
                  <v>Sep 11</v>
                </pt>
                <pt idx="11">
                  <v>Sep 12</v>
                </pt>
                <pt idx="12">
                  <v>Sep 13</v>
                </pt>
                <pt idx="13">
                  <v>Sep 14</v>
                </pt>
                <pt idx="14">
                  <v>Sep 15</v>
                </pt>
                <pt idx="15">
                  <v>Sep 16</v>
                </pt>
                <pt idx="16">
                  <v>Sep 17</v>
                </pt>
                <pt idx="17">
                  <v>Sep 18</v>
                </pt>
                <pt idx="18">
                  <v>Sep 19</v>
                </pt>
                <pt idx="19">
                  <v>Sep 20</v>
                </pt>
                <pt idx="20">
                  <v>Sep 21</v>
                </pt>
                <pt idx="21">
                  <v>Sep 22</v>
                </pt>
                <pt idx="22">
                  <v>Sep 23</v>
                </pt>
                <pt idx="23">
                  <v>Sep 24</v>
                </pt>
                <pt idx="24">
                  <v>Sep 25</v>
                </pt>
                <pt idx="25">
                  <v>Sep 26</v>
                </pt>
                <pt idx="26">
                  <v>Sep 27</v>
                </pt>
                <pt idx="27">
                  <v>Sep 28</v>
                </pt>
                <pt idx="28">
                  <v>Sep 29</v>
                </pt>
                <pt idx="29">
                  <v>Sep 30</v>
                </pt>
              </strCache>
            </strRef>
          </cat>
          <val>
            <numRef>
              <f>Sep_2026!$R$22:$R$51</f>
              <numCache>
                <formatCode>\+0.000;\-0.000;0.000</formatCode>
                <ptCount val="30"/>
                <pt idx="0">
                  <v>0.9266681849237077</v>
                </pt>
                <pt idx="1">
                  <v>0.9266681849237077</v>
                </pt>
                <pt idx="2">
                  <v>0.9266681849237077</v>
                </pt>
                <pt idx="3">
                  <v>0.9266681849237077</v>
                </pt>
                <pt idx="4">
                  <v>0.9266681849237077</v>
                </pt>
                <pt idx="5">
                  <v>0.9266681849237077</v>
                </pt>
                <pt idx="6">
                  <v>0.9266681849237077</v>
                </pt>
                <pt idx="7">
                  <v>0.9266681849237077</v>
                </pt>
                <pt idx="8">
                  <v>0.9266681849237077</v>
                </pt>
                <pt idx="9">
                  <v>0.9266681849237077</v>
                </pt>
                <pt idx="10">
                  <v>0.9266681849237077</v>
                </pt>
                <pt idx="11">
                  <v>0.9266681849237077</v>
                </pt>
                <pt idx="12">
                  <v>0.9266681849237077</v>
                </pt>
                <pt idx="13">
                  <v>0.9266681849237077</v>
                </pt>
                <pt idx="14">
                  <v>0.9266681849237077</v>
                </pt>
                <pt idx="15">
                  <v>0.9266681849237077</v>
                </pt>
                <pt idx="16">
                  <v>0.9266681849237077</v>
                </pt>
                <pt idx="17">
                  <v>0.9266681849237077</v>
                </pt>
                <pt idx="18">
                  <v>0.9266681849237077</v>
                </pt>
                <pt idx="19">
                  <v>0.9266681849237077</v>
                </pt>
                <pt idx="20">
                  <v>0.9266681849237077</v>
                </pt>
                <pt idx="21">
                  <v>0.9266681849237077</v>
                </pt>
                <pt idx="22">
                  <v>0.9266681849237077</v>
                </pt>
                <pt idx="23">
                  <v>0.9266681849237077</v>
                </pt>
                <pt idx="24">
                  <v>0.9266681849237077</v>
                </pt>
                <pt idx="25">
                  <v>0.9266681849237077</v>
                </pt>
                <pt idx="26">
                  <v>0.9266681849237077</v>
                </pt>
                <pt idx="27">
                  <v>0.9266681849237077</v>
                </pt>
                <pt idx="28">
                  <v>0.9266681849237077</v>
                </pt>
                <pt idx="29">
                  <v>0.9266681849237077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\+0.000;\-0.000;0.0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Model vs market — YES in cents (gap = edge)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model YES ¢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Sep_2026!$A$18:$A$51</f>
              <strCache>
                <ptCount val="34"/>
                <pt idx="0">
                  <v>Aug 28</v>
                </pt>
                <pt idx="1">
                  <v>Aug 29</v>
                </pt>
                <pt idx="2">
                  <v>Aug 30</v>
                </pt>
                <pt idx="3">
                  <v>Aug 31</v>
                </pt>
                <pt idx="4">
                  <v>Sep 01</v>
                </pt>
                <pt idx="5">
                  <v>Sep 02</v>
                </pt>
                <pt idx="6">
                  <v>Sep 03</v>
                </pt>
                <pt idx="7">
                  <v>Sep 04</v>
                </pt>
                <pt idx="8">
                  <v>Sep 05</v>
                </pt>
                <pt idx="9">
                  <v>Sep 06</v>
                </pt>
                <pt idx="10">
                  <v>Sep 07</v>
                </pt>
                <pt idx="11">
                  <v>Sep 08</v>
                </pt>
                <pt idx="12">
                  <v>Sep 09</v>
                </pt>
                <pt idx="13">
                  <v>Sep 10</v>
                </pt>
                <pt idx="14">
                  <v>Sep 11</v>
                </pt>
                <pt idx="15">
                  <v>Sep 12</v>
                </pt>
                <pt idx="16">
                  <v>Sep 13</v>
                </pt>
                <pt idx="17">
                  <v>Sep 14</v>
                </pt>
                <pt idx="18">
                  <v>Sep 15</v>
                </pt>
                <pt idx="19">
                  <v>Sep 16</v>
                </pt>
                <pt idx="20">
                  <v>Sep 17</v>
                </pt>
                <pt idx="21">
                  <v>Sep 18</v>
                </pt>
                <pt idx="22">
                  <v>Sep 19</v>
                </pt>
                <pt idx="23">
                  <v>Sep 20</v>
                </pt>
                <pt idx="24">
                  <v>Sep 21</v>
                </pt>
                <pt idx="25">
                  <v>Sep 22</v>
                </pt>
                <pt idx="26">
                  <v>Sep 23</v>
                </pt>
                <pt idx="27">
                  <v>Sep 24</v>
                </pt>
                <pt idx="28">
                  <v>Sep 25</v>
                </pt>
                <pt idx="29">
                  <v>Sep 26</v>
                </pt>
                <pt idx="30">
                  <v>Sep 27</v>
                </pt>
                <pt idx="31">
                  <v>Sep 28</v>
                </pt>
                <pt idx="32">
                  <v>Sep 29</v>
                </pt>
                <pt idx="33">
                  <v>Sep 30</v>
                </pt>
              </strCache>
            </strRef>
          </cat>
          <val>
            <numRef>
              <f>Sep_2026!$S$18:$S$51</f>
              <numCache>
                <formatCode>0.0</formatCode>
                <ptCount val="3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</numCache>
            </numRef>
          </val>
          <smooth val="0"/>
        </ser>
        <ser>
          <idx val="1"/>
          <order val="1"/>
          <tx>
            <v>market YES ¢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Sep_2026!$A$18:$A$51</f>
              <strCache>
                <ptCount val="34"/>
                <pt idx="0">
                  <v>Aug 28</v>
                </pt>
                <pt idx="1">
                  <v>Aug 29</v>
                </pt>
                <pt idx="2">
                  <v>Aug 30</v>
                </pt>
                <pt idx="3">
                  <v>Aug 31</v>
                </pt>
                <pt idx="4">
                  <v>Sep 01</v>
                </pt>
                <pt idx="5">
                  <v>Sep 02</v>
                </pt>
                <pt idx="6">
                  <v>Sep 03</v>
                </pt>
                <pt idx="7">
                  <v>Sep 04</v>
                </pt>
                <pt idx="8">
                  <v>Sep 05</v>
                </pt>
                <pt idx="9">
                  <v>Sep 06</v>
                </pt>
                <pt idx="10">
                  <v>Sep 07</v>
                </pt>
                <pt idx="11">
                  <v>Sep 08</v>
                </pt>
                <pt idx="12">
                  <v>Sep 09</v>
                </pt>
                <pt idx="13">
                  <v>Sep 10</v>
                </pt>
                <pt idx="14">
                  <v>Sep 11</v>
                </pt>
                <pt idx="15">
                  <v>Sep 12</v>
                </pt>
                <pt idx="16">
                  <v>Sep 13</v>
                </pt>
                <pt idx="17">
                  <v>Sep 14</v>
                </pt>
                <pt idx="18">
                  <v>Sep 15</v>
                </pt>
                <pt idx="19">
                  <v>Sep 16</v>
                </pt>
                <pt idx="20">
                  <v>Sep 17</v>
                </pt>
                <pt idx="21">
                  <v>Sep 18</v>
                </pt>
                <pt idx="22">
                  <v>Sep 19</v>
                </pt>
                <pt idx="23">
                  <v>Sep 20</v>
                </pt>
                <pt idx="24">
                  <v>Sep 21</v>
                </pt>
                <pt idx="25">
                  <v>Sep 22</v>
                </pt>
                <pt idx="26">
                  <v>Sep 23</v>
                </pt>
                <pt idx="27">
                  <v>Sep 24</v>
                </pt>
                <pt idx="28">
                  <v>Sep 25</v>
                </pt>
                <pt idx="29">
                  <v>Sep 26</v>
                </pt>
                <pt idx="30">
                  <v>Sep 27</v>
                </pt>
                <pt idx="31">
                  <v>Sep 28</v>
                </pt>
                <pt idx="32">
                  <v>Sep 29</v>
                </pt>
                <pt idx="33">
                  <v>Sep 30</v>
                </pt>
              </strCache>
            </strRef>
          </cat>
          <val>
            <numRef>
              <f>Sep_2026!$L$18:$L$51</f>
              <numCache>
                <formatCode>0.0</formatCode>
                <ptCount val="34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0.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Volume and open interest — KXHMONTH-26SEP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v>volume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Sep_2026!$A$18:$A$51</f>
              <strCache>
                <ptCount val="34"/>
                <pt idx="0">
                  <v>Aug 28</v>
                </pt>
                <pt idx="1">
                  <v>Aug 29</v>
                </pt>
                <pt idx="2">
                  <v>Aug 30</v>
                </pt>
                <pt idx="3">
                  <v>Aug 31</v>
                </pt>
                <pt idx="4">
                  <v>Sep 01</v>
                </pt>
                <pt idx="5">
                  <v>Sep 02</v>
                </pt>
                <pt idx="6">
                  <v>Sep 03</v>
                </pt>
                <pt idx="7">
                  <v>Sep 04</v>
                </pt>
                <pt idx="8">
                  <v>Sep 05</v>
                </pt>
                <pt idx="9">
                  <v>Sep 06</v>
                </pt>
                <pt idx="10">
                  <v>Sep 07</v>
                </pt>
                <pt idx="11">
                  <v>Sep 08</v>
                </pt>
                <pt idx="12">
                  <v>Sep 09</v>
                </pt>
                <pt idx="13">
                  <v>Sep 10</v>
                </pt>
                <pt idx="14">
                  <v>Sep 11</v>
                </pt>
                <pt idx="15">
                  <v>Sep 12</v>
                </pt>
                <pt idx="16">
                  <v>Sep 13</v>
                </pt>
                <pt idx="17">
                  <v>Sep 14</v>
                </pt>
                <pt idx="18">
                  <v>Sep 15</v>
                </pt>
                <pt idx="19">
                  <v>Sep 16</v>
                </pt>
                <pt idx="20">
                  <v>Sep 17</v>
                </pt>
                <pt idx="21">
                  <v>Sep 18</v>
                </pt>
                <pt idx="22">
                  <v>Sep 19</v>
                </pt>
                <pt idx="23">
                  <v>Sep 20</v>
                </pt>
                <pt idx="24">
                  <v>Sep 21</v>
                </pt>
                <pt idx="25">
                  <v>Sep 22</v>
                </pt>
                <pt idx="26">
                  <v>Sep 23</v>
                </pt>
                <pt idx="27">
                  <v>Sep 24</v>
                </pt>
                <pt idx="28">
                  <v>Sep 25</v>
                </pt>
                <pt idx="29">
                  <v>Sep 26</v>
                </pt>
                <pt idx="30">
                  <v>Sep 27</v>
                </pt>
                <pt idx="31">
                  <v>Sep 28</v>
                </pt>
                <pt idx="32">
                  <v>Sep 29</v>
                </pt>
                <pt idx="33">
                  <v>Sep 30</v>
                </pt>
              </strCache>
            </strRef>
          </cat>
          <val>
            <numRef>
              <f>Sep_2026!$N$18:$N$51</f>
              <numCache>
                <formatCode>#,##0</formatCode>
                <ptCount val="34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lineChart>
        <grouping val="standard"/>
        <varyColors val="1"/>
        <ser>
          <idx val="1"/>
          <order val="1"/>
          <tx>
            <v>open interest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Sep_2026!$O$18:$O$51</f>
              <numCache>
                <formatCode>#,##0</formatCode>
                <ptCount val="34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Forecast error — Dev and Dev3 (spike tripwire, ±0.05)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Dev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Sep_2026!$A$18:$A$51</f>
              <strCache>
                <ptCount val="34"/>
                <pt idx="0">
                  <v>Aug 28</v>
                </pt>
                <pt idx="1">
                  <v>Aug 29</v>
                </pt>
                <pt idx="2">
                  <v>Aug 30</v>
                </pt>
                <pt idx="3">
                  <v>Aug 31</v>
                </pt>
                <pt idx="4">
                  <v>Sep 01</v>
                </pt>
                <pt idx="5">
                  <v>Sep 02</v>
                </pt>
                <pt idx="6">
                  <v>Sep 03</v>
                </pt>
                <pt idx="7">
                  <v>Sep 04</v>
                </pt>
                <pt idx="8">
                  <v>Sep 05</v>
                </pt>
                <pt idx="9">
                  <v>Sep 06</v>
                </pt>
                <pt idx="10">
                  <v>Sep 07</v>
                </pt>
                <pt idx="11">
                  <v>Sep 08</v>
                </pt>
                <pt idx="12">
                  <v>Sep 09</v>
                </pt>
                <pt idx="13">
                  <v>Sep 10</v>
                </pt>
                <pt idx="14">
                  <v>Sep 11</v>
                </pt>
                <pt idx="15">
                  <v>Sep 12</v>
                </pt>
                <pt idx="16">
                  <v>Sep 13</v>
                </pt>
                <pt idx="17">
                  <v>Sep 14</v>
                </pt>
                <pt idx="18">
                  <v>Sep 15</v>
                </pt>
                <pt idx="19">
                  <v>Sep 16</v>
                </pt>
                <pt idx="20">
                  <v>Sep 17</v>
                </pt>
                <pt idx="21">
                  <v>Sep 18</v>
                </pt>
                <pt idx="22">
                  <v>Sep 19</v>
                </pt>
                <pt idx="23">
                  <v>Sep 20</v>
                </pt>
                <pt idx="24">
                  <v>Sep 21</v>
                </pt>
                <pt idx="25">
                  <v>Sep 22</v>
                </pt>
                <pt idx="26">
                  <v>Sep 23</v>
                </pt>
                <pt idx="27">
                  <v>Sep 24</v>
                </pt>
                <pt idx="28">
                  <v>Sep 25</v>
                </pt>
                <pt idx="29">
                  <v>Sep 26</v>
                </pt>
                <pt idx="30">
                  <v>Sep 27</v>
                </pt>
                <pt idx="31">
                  <v>Sep 28</v>
                </pt>
                <pt idx="32">
                  <v>Sep 29</v>
                </pt>
                <pt idx="33">
                  <v>Sep 30</v>
                </pt>
              </strCache>
            </strRef>
          </cat>
          <val>
            <numRef>
              <f>Sep_2026!$D$18:$D$51</f>
              <numCache>
                <formatCode>\+0.000;\-0.000;0.000</formatCode>
                <ptCount val="3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</numCache>
            </numRef>
          </val>
          <smooth val="0"/>
        </ser>
        <ser>
          <idx val="1"/>
          <order val="1"/>
          <tx>
            <v>Dev3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Sep_2026!$A$18:$A$51</f>
              <strCache>
                <ptCount val="34"/>
                <pt idx="0">
                  <v>Aug 28</v>
                </pt>
                <pt idx="1">
                  <v>Aug 29</v>
                </pt>
                <pt idx="2">
                  <v>Aug 30</v>
                </pt>
                <pt idx="3">
                  <v>Aug 31</v>
                </pt>
                <pt idx="4">
                  <v>Sep 01</v>
                </pt>
                <pt idx="5">
                  <v>Sep 02</v>
                </pt>
                <pt idx="6">
                  <v>Sep 03</v>
                </pt>
                <pt idx="7">
                  <v>Sep 04</v>
                </pt>
                <pt idx="8">
                  <v>Sep 05</v>
                </pt>
                <pt idx="9">
                  <v>Sep 06</v>
                </pt>
                <pt idx="10">
                  <v>Sep 07</v>
                </pt>
                <pt idx="11">
                  <v>Sep 08</v>
                </pt>
                <pt idx="12">
                  <v>Sep 09</v>
                </pt>
                <pt idx="13">
                  <v>Sep 10</v>
                </pt>
                <pt idx="14">
                  <v>Sep 11</v>
                </pt>
                <pt idx="15">
                  <v>Sep 12</v>
                </pt>
                <pt idx="16">
                  <v>Sep 13</v>
                </pt>
                <pt idx="17">
                  <v>Sep 14</v>
                </pt>
                <pt idx="18">
                  <v>Sep 15</v>
                </pt>
                <pt idx="19">
                  <v>Sep 16</v>
                </pt>
                <pt idx="20">
                  <v>Sep 17</v>
                </pt>
                <pt idx="21">
                  <v>Sep 18</v>
                </pt>
                <pt idx="22">
                  <v>Sep 19</v>
                </pt>
                <pt idx="23">
                  <v>Sep 20</v>
                </pt>
                <pt idx="24">
                  <v>Sep 21</v>
                </pt>
                <pt idx="25">
                  <v>Sep 22</v>
                </pt>
                <pt idx="26">
                  <v>Sep 23</v>
                </pt>
                <pt idx="27">
                  <v>Sep 24</v>
                </pt>
                <pt idx="28">
                  <v>Sep 25</v>
                </pt>
                <pt idx="29">
                  <v>Sep 26</v>
                </pt>
                <pt idx="30">
                  <v>Sep 27</v>
                </pt>
                <pt idx="31">
                  <v>Sep 28</v>
                </pt>
                <pt idx="32">
                  <v>Sep 29</v>
                </pt>
                <pt idx="33">
                  <v>Sep 30</v>
                </pt>
              </strCache>
            </strRef>
          </cat>
          <val>
            <numRef>
              <f>Sep_2026!$E$18:$E$51</f>
              <numCache>
                <formatCode>\+0.000;\-0.000;0.000</formatCode>
                <ptCount val="3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tickLblSkip val="3"/>
        <tickMarkSkip val="3"/>
        <noMultiLvlLbl val="1"/>
      </catAx>
      <valAx>
        <axId val="100"/>
        <scaling>
          <orientation val="minMax"/>
        </scaling>
        <delete val="0"/>
        <axPos val="l"/>
        <numFmt formatCode="\+0.000;\-0.000;0.0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93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93</row>
      <rowOff>0</rowOff>
    </from>
    <ext cx="64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111</row>
      <rowOff>0</rowOff>
    </from>
    <ext cx="648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111</row>
      <rowOff>0</rowOff>
    </from>
    <ext cx="648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94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94</row>
      <rowOff>0</rowOff>
    </from>
    <ext cx="64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112</row>
      <rowOff>0</rowOff>
    </from>
    <ext cx="648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112</row>
      <rowOff>0</rowOff>
    </from>
    <ext cx="648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94</row>
      <rowOff>0</rowOff>
    </from>
    <ext cx="5345165" cy="2372527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480866</colOff>
      <row>66</row>
      <rowOff>32633</rowOff>
    </from>
    <ext cx="5638243" cy="279120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199900</colOff>
      <row>84</row>
      <rowOff>36942</rowOff>
    </from>
    <ext cx="648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181429</colOff>
      <row>53</row>
      <rowOff>125604</rowOff>
    </from>
    <ext cx="5582417" cy="193989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93</row>
      <rowOff>0</rowOff>
    </from>
    <ext cx="64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93</row>
      <rowOff>0</rowOff>
    </from>
    <ext cx="64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111</row>
      <rowOff>0</rowOff>
    </from>
    <ext cx="648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111</row>
      <rowOff>0</rowOff>
    </from>
    <ext cx="648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topLeftCell="A12" zoomScaleNormal="269" workbookViewId="0">
      <selection activeCell="R9" sqref="R9"/>
    </sheetView>
  </sheetViews>
  <sheetFormatPr baseColWidth="10" defaultColWidth="6.5" defaultRowHeight="15"/>
  <cols>
    <col width="6.1640625" bestFit="1" customWidth="1" style="158" min="1" max="1"/>
    <col width="9.33203125" bestFit="1" customWidth="1" style="158" min="2" max="2"/>
    <col width="10.83203125" bestFit="1" customWidth="1" style="158" min="3" max="3"/>
    <col width="7.6640625" bestFit="1" customWidth="1" style="158" min="4" max="4"/>
    <col width="7.33203125" bestFit="1" customWidth="1" style="158" min="5" max="5"/>
    <col width="8.5" bestFit="1" customWidth="1" style="158" min="6" max="6"/>
    <col width="6.5" bestFit="1" customWidth="1" style="158" min="7" max="7"/>
    <col width="6.6640625" bestFit="1" customWidth="1" style="158" min="8" max="8"/>
    <col width="9.83203125" bestFit="1" customWidth="1" style="158" min="9" max="9"/>
    <col width="6.1640625" bestFit="1" customWidth="1" style="158" min="10" max="10"/>
    <col width="7.83203125" bestFit="1" customWidth="1" style="158" min="11" max="11"/>
    <col width="8.5" bestFit="1" customWidth="1" style="158" min="12" max="12"/>
    <col width="6.1640625" bestFit="1" customWidth="1" style="158" min="13" max="13"/>
    <col width="6.6640625" bestFit="1" customWidth="1" style="158" min="14" max="14"/>
    <col width="7.6640625" bestFit="1" customWidth="1" style="158" min="15" max="15"/>
    <col width="5.6640625" bestFit="1" customWidth="1" style="158" min="16" max="16"/>
    <col width="7.6640625" bestFit="1" customWidth="1" style="158" min="17" max="17"/>
    <col width="6.5" customWidth="1" style="158" min="18" max="18"/>
    <col width="8" customWidth="1" style="170" min="19" max="19"/>
    <col width="6.5" customWidth="1" style="158" min="20" max="22"/>
    <col width="6.5" customWidth="1" style="158" min="23" max="16384"/>
  </cols>
  <sheetData>
    <row r="1" ht="24" customHeight="1" s="170">
      <c r="A1" s="159" t="inlineStr">
        <is>
          <t>KXHMONTH-26JUN  —  “Will June 2026 be the hottest June ever?”</t>
        </is>
      </c>
      <c r="S1" s="158" t="n"/>
    </row>
    <row r="2">
      <c r="A2" s="161" t="inlineStr">
        <is>
          <t>SETTLED — NOAA printed 1.09   ·   record 1.18, needs a 1.19 print   ·   ERA5 bar +0.65962/day   ·   fit 1990–2025, n=36   ·   settles Jul 9 2026 10:00 ET</t>
        </is>
      </c>
      <c r="S2" s="158" t="n"/>
    </row>
    <row r="3">
      <c r="A3" s="160" t="inlineStr">
        <is>
          <t>CONTRACT &amp; TRANSLATION</t>
        </is>
      </c>
      <c r="E3" s="160" t="inlineStr">
        <is>
          <t>CURRENT STATE</t>
        </is>
      </c>
      <c r="I3" s="160" t="inlineStr">
        <is>
          <t>ENSEMBLE</t>
        </is>
      </c>
      <c r="M3" s="160" t="inlineStr">
        <is>
          <t>MARKET &amp; P&amp;L</t>
        </is>
      </c>
      <c r="S3" s="158" t="n"/>
    </row>
    <row r="4">
      <c r="A4" s="153" t="inlineStr">
        <is>
          <t>Record (printed)</t>
        </is>
      </c>
      <c r="B4" s="154" t="n"/>
      <c r="C4" s="155" t="n"/>
      <c r="D4" s="1" t="n">
        <v>1.18</v>
      </c>
      <c r="E4" s="153" t="inlineStr">
        <is>
          <t>k  (days observed)</t>
        </is>
      </c>
      <c r="F4" s="154" t="n"/>
      <c r="G4" s="155" t="n"/>
      <c r="H4" s="2">
        <f>COUNT($B$22:$B$51)</f>
        <v/>
      </c>
      <c r="I4" s="153" t="inlineStr">
        <is>
          <t>Run</t>
        </is>
      </c>
      <c r="J4" s="154" t="n"/>
      <c r="K4" s="155" t="n"/>
      <c r="L4" s="3" t="inlineStr">
        <is>
          <t>—</t>
        </is>
      </c>
      <c r="M4" s="153" t="inlineStr">
        <is>
          <t>Side held</t>
        </is>
      </c>
      <c r="N4" s="154" t="n"/>
      <c r="O4" s="154" t="n"/>
      <c r="P4" s="155" t="n"/>
      <c r="Q4" s="4" t="n"/>
      <c r="S4" s="158" t="n"/>
    </row>
    <row r="5">
      <c r="A5" s="153" t="inlineStr">
        <is>
          <t>Latent threshold</t>
        </is>
      </c>
      <c r="B5" s="154" t="n"/>
      <c r="C5" s="155" t="n"/>
      <c r="D5" s="5" t="n">
        <v>1.185</v>
      </c>
      <c r="E5" s="153" t="inlineStr">
        <is>
          <t>MTD mean</t>
        </is>
      </c>
      <c r="F5" s="154" t="n"/>
      <c r="G5" s="155" t="n"/>
      <c r="H5" s="6">
        <f>IF($H$4=0,"",AVERAGE($B$22:$B$51))</f>
        <v/>
      </c>
      <c r="I5" s="153" t="inlineStr">
        <is>
          <t>Members</t>
        </is>
      </c>
      <c r="J5" s="154" t="n"/>
      <c r="K5" s="155" t="n"/>
      <c r="L5" s="2" t="n"/>
      <c r="M5" s="153" t="inlineStr">
        <is>
          <t>Contracts</t>
        </is>
      </c>
      <c r="N5" s="154" t="n"/>
      <c r="O5" s="154" t="n"/>
      <c r="P5" s="155" t="n"/>
      <c r="Q5" s="7" t="n"/>
      <c r="S5" s="158" t="n"/>
    </row>
    <row r="6">
      <c r="A6" s="153" t="inlineStr">
        <is>
          <t>a  (intercept)</t>
        </is>
      </c>
      <c r="B6" s="154" t="n"/>
      <c r="C6" s="155" t="n"/>
      <c r="D6" s="8" t="n">
        <v>0.5871</v>
      </c>
      <c r="E6" s="153" t="inlineStr">
        <is>
          <t>Needed /day over rest</t>
        </is>
      </c>
      <c r="F6" s="154" t="n"/>
      <c r="G6" s="155" t="n"/>
      <c r="H6" s="6">
        <f>IF(OR($H$4=0,$H$4&gt;=30),"",($D$9*30-SUM($B$22:$B$51))/(30-$H$4))</f>
        <v/>
      </c>
      <c r="I6" s="153" t="inlineStr">
        <is>
          <t>Coldest member</t>
        </is>
      </c>
      <c r="J6" s="154" t="n"/>
      <c r="K6" s="155" t="n"/>
      <c r="L6" s="6" t="n"/>
      <c r="M6" s="153" t="inlineStr">
        <is>
          <t>Avg entry ¢</t>
        </is>
      </c>
      <c r="N6" s="154" t="n"/>
      <c r="O6" s="154" t="n"/>
      <c r="P6" s="155" t="n"/>
      <c r="Q6" s="9" t="n"/>
      <c r="S6" s="158" t="n"/>
    </row>
    <row r="7">
      <c r="A7" s="153" t="inlineStr">
        <is>
          <t>b  (slope)</t>
        </is>
      </c>
      <c r="B7" s="154" t="n"/>
      <c r="C7" s="155" t="n"/>
      <c r="D7" s="8" t="n">
        <v>0.9064</v>
      </c>
      <c r="E7" s="153" t="inlineStr">
        <is>
          <t>Assumed rate, remaining days</t>
        </is>
      </c>
      <c r="F7" s="154" t="n"/>
      <c r="G7" s="155" t="n"/>
      <c r="H7" s="10" t="n">
        <v>0.5455</v>
      </c>
      <c r="I7" s="153" t="inlineStr">
        <is>
          <t>Average member</t>
        </is>
      </c>
      <c r="J7" s="154" t="n"/>
      <c r="K7" s="155" t="n"/>
      <c r="L7" s="6" t="n"/>
      <c r="M7" s="153" t="inlineStr">
        <is>
          <t>Cost $</t>
        </is>
      </c>
      <c r="N7" s="154" t="n"/>
      <c r="O7" s="154" t="n"/>
      <c r="P7" s="155" t="n"/>
      <c r="Q7" s="11">
        <f>IF($Q$5="","",$Q$5*$Q$6/100)</f>
        <v/>
      </c>
      <c r="S7" s="158" t="n"/>
    </row>
    <row r="8">
      <c r="A8" s="153" t="inlineStr">
        <is>
          <t>σ translation</t>
        </is>
      </c>
      <c r="B8" s="154" t="n"/>
      <c r="C8" s="155" t="n"/>
      <c r="D8" s="8" t="n">
        <v>0.0451</v>
      </c>
      <c r="E8" s="153" t="inlineStr">
        <is>
          <t>Projected full-month ERA5</t>
        </is>
      </c>
      <c r="F8" s="154" t="n"/>
      <c r="G8" s="155" t="n"/>
      <c r="H8" s="6">
        <f>(SUM($B$22:$B$51)+(30-$H$4)*$H$7)/30</f>
        <v/>
      </c>
      <c r="I8" s="153" t="inlineStr">
        <is>
          <t>Hottest member</t>
        </is>
      </c>
      <c r="J8" s="154" t="n"/>
      <c r="K8" s="155" t="n"/>
      <c r="L8" s="6" t="n"/>
      <c r="M8" s="153" t="inlineStr">
        <is>
          <t>Fees paid $</t>
        </is>
      </c>
      <c r="N8" s="154" t="n"/>
      <c r="O8" s="154" t="n"/>
      <c r="P8" s="155" t="n"/>
      <c r="Q8" s="12" t="n"/>
      <c r="S8" s="158" t="n"/>
    </row>
    <row r="9">
      <c r="A9" s="153" t="inlineStr">
        <is>
          <t>ERA5 bar (full month)</t>
        </is>
      </c>
      <c r="B9" s="154" t="n"/>
      <c r="C9" s="155" t="n"/>
      <c r="D9" s="13">
        <f>($D$5-$D$6)/$D$7</f>
        <v/>
      </c>
      <c r="E9" s="153" t="inlineStr">
        <is>
          <t>Projected NOAA μ</t>
        </is>
      </c>
      <c r="F9" s="154" t="n"/>
      <c r="G9" s="155" t="n"/>
      <c r="H9" s="5">
        <f>$D$6+$D$7*$H$8</f>
        <v/>
      </c>
      <c r="I9" s="153" t="inlineStr">
        <is>
          <t>Members breaching record</t>
        </is>
      </c>
      <c r="J9" s="154" t="n"/>
      <c r="K9" s="155" t="n"/>
      <c r="L9" s="3" t="n"/>
      <c r="M9" s="153" t="inlineStr">
        <is>
          <t>Settled</t>
        </is>
      </c>
      <c r="N9" s="154" t="n"/>
      <c r="O9" s="154" t="n"/>
      <c r="P9" s="155" t="n"/>
      <c r="Q9" s="4" t="n"/>
      <c r="S9" s="158" t="n"/>
    </row>
    <row r="10">
      <c r="A10" s="153" t="inlineStr">
        <is>
          <t>σ_f  at k</t>
        </is>
      </c>
      <c r="B10" s="154" t="n"/>
      <c r="C10" s="155" t="n"/>
      <c r="D10" s="8">
        <f>IFERROR(INDEX($F$56:$F$86,MATCH($H$4,$E$56:$E$86,0)),$D$8)</f>
        <v/>
      </c>
      <c r="E10" s="153" t="inlineStr">
        <is>
          <t>P(YES) — sheet</t>
        </is>
      </c>
      <c r="F10" s="154" t="n"/>
      <c r="G10" s="155" t="n"/>
      <c r="H10" s="14">
        <f>1-NORMDIST($D$5,$H$9,$D$11,TRUE)</f>
        <v/>
      </c>
      <c r="I10" s="153" t="inlineStr">
        <is>
          <t>Ensemble P(YES)</t>
        </is>
      </c>
      <c r="J10" s="154" t="n"/>
      <c r="K10" s="155" t="n"/>
      <c r="L10" s="15" t="n"/>
      <c r="M10" s="153" t="inlineStr">
        <is>
          <t>Payout $</t>
        </is>
      </c>
      <c r="N10" s="154" t="n"/>
      <c r="O10" s="154" t="n"/>
      <c r="P10" s="155" t="n"/>
      <c r="Q10" s="11">
        <f>IF(OR($Q$9="",$Q$4=""),"",IF(UPPER($Q$9)=UPPER($Q$4),$Q$5,0))</f>
        <v/>
      </c>
      <c r="S10" s="158" t="n"/>
    </row>
    <row r="11">
      <c r="A11" s="153" t="inlineStr">
        <is>
          <t>σ total</t>
        </is>
      </c>
      <c r="B11" s="154" t="n"/>
      <c r="C11" s="155" t="n"/>
      <c r="D11" s="8">
        <f>SQRT(($D$7*$D$10)^2+$D$8^2)</f>
        <v/>
      </c>
      <c r="E11" s="153" t="inlineStr">
        <is>
          <t>P(YES) — pipeline</t>
        </is>
      </c>
      <c r="F11" s="154" t="n"/>
      <c r="G11" s="155" t="n"/>
      <c r="H11" s="15" t="n"/>
      <c r="I11" s="153" t="inlineStr">
        <is>
          <t>dev3 (latest)</t>
        </is>
      </c>
      <c r="J11" s="154" t="n"/>
      <c r="K11" s="155" t="n"/>
      <c r="L11" s="6">
        <f>IFERROR(LOOKUP(9.99E+307,$E$18:$E$51),"")</f>
        <v/>
      </c>
      <c r="M11" s="156" t="inlineStr">
        <is>
          <t>Realised P&amp;L $</t>
        </is>
      </c>
      <c r="N11" s="154" t="n"/>
      <c r="O11" s="154" t="n"/>
      <c r="P11" s="155" t="n"/>
      <c r="Q11" s="11">
        <f>IF($Q$10="","",$Q$10-$Q$7-IF($Q$8="",0,$Q$8))</f>
        <v/>
      </c>
      <c r="S11" s="158" t="n"/>
    </row>
    <row r="12">
      <c r="A12" s="153" t="inlineStr">
        <is>
          <t>Fit check</t>
        </is>
      </c>
      <c r="B12" s="154" t="n"/>
      <c r="C12" s="155" t="n"/>
      <c r="D12" s="3">
        <f>IF(AND(ABS(SLOPE($C$56:$C$91,$B$56:$B$91)-$D$7)&lt;0.0005,ABS(INTERCEPT($C$56:$C$91,$B$56:$B$91)-$D$6)&lt;0.0005,ABS(STEYX($C$56:$C$91,$B$56:$B$91)-$D$8)&lt;0.0005),"OK","DRIFT")</f>
        <v/>
      </c>
      <c r="E12" s="156" t="inlineStr">
        <is>
          <t>P(YES) used</t>
        </is>
      </c>
      <c r="F12" s="154" t="n"/>
      <c r="G12" s="155" t="n"/>
      <c r="H12" s="14">
        <f>IF($H$11="",$H$10,$H$11)</f>
        <v/>
      </c>
      <c r="I12" s="153" t="inlineStr">
        <is>
          <t>Spike signal</t>
        </is>
      </c>
      <c r="J12" s="154" t="n"/>
      <c r="K12" s="155" t="n"/>
      <c r="L12" s="3">
        <f>IF($L$11="","",IF($L$11&gt;0.05,"WARM · YES↑",IF($L$11&lt;-0.05,"COLD · YES↓","quiet")))</f>
        <v/>
      </c>
      <c r="M12" s="156" t="inlineStr">
        <is>
          <t>ROI %</t>
        </is>
      </c>
      <c r="N12" s="154" t="n"/>
      <c r="O12" s="154" t="n"/>
      <c r="P12" s="155" t="n"/>
      <c r="Q12" s="14">
        <f>IF(OR($Q$11="",$Q$7=""),"",$Q$11/$Q$7)</f>
        <v/>
      </c>
      <c r="S12" s="158" t="n"/>
    </row>
    <row r="13">
      <c r="A13" s="153" t="inlineStr">
        <is>
          <t>GISTEMP record</t>
        </is>
      </c>
      <c r="B13" s="154" t="n"/>
      <c r="C13" s="155" t="n"/>
      <c r="D13" s="1" t="n">
        <v>1.24</v>
      </c>
      <c r="E13" s="156" t="inlineStr">
        <is>
          <t>Fair NO ¢</t>
        </is>
      </c>
      <c r="F13" s="154" t="n"/>
      <c r="G13" s="155" t="n"/>
      <c r="H13" s="16">
        <f>100*(1-$H$12)</f>
        <v/>
      </c>
      <c r="I13" s="153" t="inlineStr">
        <is>
          <t>Bias — 2026 mean residual</t>
        </is>
      </c>
      <c r="J13" s="154" t="n"/>
      <c r="K13" s="155" t="n"/>
      <c r="L13" s="17" t="n">
        <v>0.0224</v>
      </c>
      <c r="M13" s="153" t="inlineStr">
        <is>
          <t>Risk cap $ / market</t>
        </is>
      </c>
      <c r="N13" s="154" t="n"/>
      <c r="O13" s="154" t="n"/>
      <c r="P13" s="155" t="n"/>
      <c r="Q13" s="18" t="n">
        <v>300</v>
      </c>
      <c r="S13" s="158" t="n"/>
    </row>
    <row r="14">
      <c r="A14" s="153" t="inlineStr">
        <is>
          <t>GISTEMP threshold</t>
        </is>
      </c>
      <c r="B14" s="154" t="n"/>
      <c r="C14" s="155" t="n"/>
      <c r="D14" s="5" t="n">
        <v>1.245</v>
      </c>
      <c r="E14" s="156" t="inlineStr">
        <is>
          <t>Edge on NO ¢</t>
        </is>
      </c>
      <c r="F14" s="154" t="n"/>
      <c r="G14" s="155" t="n"/>
      <c r="H14" s="16">
        <f>IF(COUNT($L$18:$L$51)=0,"",LOOKUP(9.99E+307,$L$18:$L$51)-100*$H$12)</f>
        <v/>
      </c>
      <c r="I14" s="153" t="inlineStr">
        <is>
          <t>Apply bias to μ?</t>
        </is>
      </c>
      <c r="J14" s="154" t="n"/>
      <c r="K14" s="155" t="n"/>
      <c r="L14" s="19" t="inlineStr">
        <is>
          <t>N</t>
        </is>
      </c>
      <c r="M14" s="153" t="inlineStr">
        <is>
          <t>Book depth at touch $</t>
        </is>
      </c>
      <c r="N14" s="154" t="n"/>
      <c r="O14" s="154" t="n"/>
      <c r="P14" s="155" t="n"/>
      <c r="Q14" s="12" t="n"/>
      <c r="S14" s="158" t="n"/>
    </row>
    <row r="15">
      <c r="A15" s="153" t="inlineStr">
        <is>
          <t>ONI (CPC)</t>
        </is>
      </c>
      <c r="B15" s="154" t="n"/>
      <c r="C15" s="155" t="n"/>
      <c r="D15" s="9" t="n">
        <v>1</v>
      </c>
      <c r="E15" s="156" t="inlineStr">
        <is>
          <t>Verdict</t>
        </is>
      </c>
      <c r="F15" s="154" t="n"/>
      <c r="G15" s="155" t="n"/>
      <c r="H15" s="3">
        <f>IF($H$14="","",IF($H$14&gt;=3,"NO CHEAP",IF($H$14&lt;=-3,"NO RICH","FAIR")))</f>
        <v/>
      </c>
      <c r="I15" s="153" t="inlineStr">
        <is>
          <t>μ with bias</t>
        </is>
      </c>
      <c r="J15" s="154" t="n"/>
      <c r="K15" s="155" t="n"/>
      <c r="L15" s="5">
        <f>IF(UPPER($L$14)="Y",$H$9+$L$13,$H$9)</f>
        <v/>
      </c>
      <c r="M15" s="153" t="inlineStr">
        <is>
          <t>Exposure vs cap</t>
        </is>
      </c>
      <c r="N15" s="154" t="n"/>
      <c r="O15" s="154" t="n"/>
      <c r="P15" s="155" t="n"/>
      <c r="Q15" s="14">
        <f>IF($Q$7="","",$Q$7/$Q$13)</f>
        <v/>
      </c>
      <c r="S15" s="158" t="n"/>
    </row>
    <row r="16">
      <c r="S16" s="158" t="n"/>
    </row>
    <row r="17" ht="27" customHeight="1" s="170">
      <c r="A17" s="62" t="inlineStr">
        <is>
          <t>Date</t>
        </is>
      </c>
      <c r="B17" s="64" t="inlineStr">
        <is>
          <t>Actual °C</t>
        </is>
      </c>
      <c r="C17" s="63" t="inlineStr">
        <is>
          <t>Expectation</t>
        </is>
      </c>
      <c r="D17" s="20" t="inlineStr">
        <is>
          <t>Dev</t>
        </is>
      </c>
      <c r="E17" s="20" t="inlineStr">
        <is>
          <t>Dev3</t>
        </is>
      </c>
      <c r="F17" s="20" t="inlineStr">
        <is>
          <t>MTD mean</t>
        </is>
      </c>
      <c r="G17" s="20" t="inlineStr">
        <is>
          <t>2024</t>
        </is>
      </c>
      <c r="H17" s="20" t="inlineStr">
        <is>
          <t>2023</t>
        </is>
      </c>
      <c r="I17" s="20" t="inlineStr">
        <is>
          <t>Needed /day</t>
        </is>
      </c>
      <c r="J17" s="20" t="inlineStr">
        <is>
          <t>P(YES)</t>
        </is>
      </c>
      <c r="K17" s="20" t="inlineStr">
        <is>
          <t>Fair NO ¢</t>
        </is>
      </c>
      <c r="L17" s="20" t="inlineStr">
        <is>
          <t>Mkt YES ¢</t>
        </is>
      </c>
      <c r="M17" s="20" t="inlineStr">
        <is>
          <t>Edge ¢</t>
        </is>
      </c>
      <c r="N17" s="20" t="inlineStr">
        <is>
          <t>Volume</t>
        </is>
      </c>
      <c r="O17" s="20" t="inlineStr">
        <is>
          <t>Open int</t>
        </is>
      </c>
      <c r="P17" s="20" t="inlineStr">
        <is>
          <t>Signal</t>
        </is>
      </c>
      <c r="Q17" s="20" t="inlineStr">
        <is>
          <t>Note</t>
        </is>
      </c>
      <c r="R17" s="85" t="inlineStr">
        <is>
          <t>Pace</t>
        </is>
      </c>
      <c r="S17" s="85" t="inlineStr">
        <is>
          <t>Model ¢</t>
        </is>
      </c>
    </row>
    <row r="18" ht="26" customHeight="1" s="170">
      <c r="A18" s="21" t="inlineStr">
        <is>
          <t>May 28</t>
        </is>
      </c>
      <c r="B18" s="61" t="n">
        <v>0.526</v>
      </c>
      <c r="C18" s="22" t="n"/>
      <c r="D18" s="23">
        <f>IF(OR($B18="",$C18=""),"",$B18-$C18)</f>
        <v/>
      </c>
      <c r="E18" s="23">
        <f>IF(COUNT($D17:$D18)&lt;3,"",AVERAGE($D17:$D18))</f>
        <v/>
      </c>
      <c r="F18" s="23" t="n"/>
      <c r="G18" s="23" t="n">
        <v>0.744</v>
      </c>
      <c r="H18" s="23" t="n">
        <v>0.448</v>
      </c>
      <c r="I18" s="23" t="n"/>
      <c r="J18" s="24" t="n"/>
      <c r="K18" s="25">
        <f>IF($J18="","",100*(1-$J18))</f>
        <v/>
      </c>
      <c r="L18" s="26" t="n">
        <v>10</v>
      </c>
      <c r="M18" s="25">
        <f>IF(OR($J18="",$L18=""),"",$L18-100*$J18)</f>
        <v/>
      </c>
      <c r="N18" s="27" t="n">
        <v>51</v>
      </c>
      <c r="O18" s="27" t="n">
        <v>51</v>
      </c>
      <c r="P18" s="28">
        <f>IF($E18="","",IF($E18&gt;0.05,"WARM dev3 — spike risk UP",IF($E18&lt;-0.05,"COLD dev3 — spike risk DOWN","")))</f>
        <v/>
      </c>
      <c r="Q18" s="29" t="n"/>
      <c r="R18" s="103" t="n"/>
      <c r="S18" s="99">
        <f>IF($J18="","",$J18*100)</f>
        <v/>
      </c>
    </row>
    <row r="19">
      <c r="A19" s="21" t="inlineStr">
        <is>
          <t>May 29</t>
        </is>
      </c>
      <c r="B19" s="22" t="n">
        <v>0.543</v>
      </c>
      <c r="C19" s="22" t="n"/>
      <c r="D19" s="23">
        <f>IF(OR($B19="",$C19=""),"",$B19-$C19)</f>
        <v/>
      </c>
      <c r="E19" s="23">
        <f>IF(COUNT($D17:$D19)&lt;3,"",AVERAGE($D17:$D19))</f>
        <v/>
      </c>
      <c r="F19" s="23" t="n"/>
      <c r="G19" s="23" t="n">
        <v>0.728</v>
      </c>
      <c r="H19" s="23" t="n">
        <v>0.435</v>
      </c>
      <c r="I19" s="23" t="n"/>
      <c r="J19" s="24" t="n"/>
      <c r="K19" s="25">
        <f>IF($J19="","",100*(1-$J19))</f>
        <v/>
      </c>
      <c r="L19" s="26" t="n">
        <v>10</v>
      </c>
      <c r="M19" s="25">
        <f>IF(OR($J19="",$L19=""),"",$L19-100*$J19)</f>
        <v/>
      </c>
      <c r="N19" s="27" t="n">
        <v>10</v>
      </c>
      <c r="O19" s="27" t="n">
        <v>61</v>
      </c>
      <c r="P19" s="28">
        <f>IF($E19="","",IF($E19&gt;0.05,"WARM dev3 — spike risk UP",IF($E19&lt;-0.05,"COLD dev3 — spike risk DOWN","")))</f>
        <v/>
      </c>
      <c r="Q19" s="29" t="n"/>
      <c r="R19" s="103" t="n"/>
      <c r="S19" s="99">
        <f>IF($J19="","",$J19*100)</f>
        <v/>
      </c>
    </row>
    <row r="20">
      <c r="A20" s="21" t="inlineStr">
        <is>
          <t>May 30</t>
        </is>
      </c>
      <c r="B20" s="22" t="n">
        <v>0.497</v>
      </c>
      <c r="C20" s="22" t="n"/>
      <c r="D20" s="23">
        <f>IF(OR($B20="",$C20=""),"",$B20-$C20)</f>
        <v/>
      </c>
      <c r="E20" s="23">
        <f>IF(COUNT($D18:$D20)&lt;3,"",AVERAGE($D18:$D20))</f>
        <v/>
      </c>
      <c r="F20" s="23" t="n"/>
      <c r="G20" s="23" t="n">
        <v>0.751</v>
      </c>
      <c r="H20" s="23" t="n">
        <v>0.48</v>
      </c>
      <c r="I20" s="23" t="n"/>
      <c r="J20" s="24" t="n"/>
      <c r="K20" s="25">
        <f>IF($J20="","",100*(1-$J20))</f>
        <v/>
      </c>
      <c r="L20" s="26" t="n">
        <v>28</v>
      </c>
      <c r="M20" s="25">
        <f>IF(OR($J20="",$L20=""),"",$L20-100*$J20)</f>
        <v/>
      </c>
      <c r="N20" s="27" t="n">
        <v>1003.06</v>
      </c>
      <c r="O20" s="27" t="n">
        <v>1046.44</v>
      </c>
      <c r="P20" s="28">
        <f>IF($E20="","",IF($E20&gt;0.05,"WARM dev3 — spike risk UP",IF($E20&lt;-0.05,"COLD dev3 — spike risk DOWN","")))</f>
        <v/>
      </c>
      <c r="Q20" s="29" t="n"/>
      <c r="R20" s="103" t="n"/>
      <c r="S20" s="99">
        <f>IF($J20="","",$J20*100)</f>
        <v/>
      </c>
    </row>
    <row r="21">
      <c r="A21" s="21" t="inlineStr">
        <is>
          <t>May 31</t>
        </is>
      </c>
      <c r="B21" s="22" t="n">
        <v>0.496</v>
      </c>
      <c r="C21" s="22" t="n"/>
      <c r="D21" s="23">
        <f>IF(OR($B21="",$C21=""),"",$B21-$C21)</f>
        <v/>
      </c>
      <c r="E21" s="23">
        <f>IF(COUNT($D19:$D21)&lt;3,"",AVERAGE($D19:$D21))</f>
        <v/>
      </c>
      <c r="F21" s="23" t="n"/>
      <c r="G21" s="23" t="n">
        <v>0.85</v>
      </c>
      <c r="H21" s="23" t="n">
        <v>0.49</v>
      </c>
      <c r="I21" s="23" t="n"/>
      <c r="J21" s="24" t="n"/>
      <c r="K21" s="25">
        <f>IF($J21="","",100*(1-$J21))</f>
        <v/>
      </c>
      <c r="L21" s="26" t="n">
        <v>21</v>
      </c>
      <c r="M21" s="25">
        <f>IF(OR($J21="",$L21=""),"",$L21-100*$J21)</f>
        <v/>
      </c>
      <c r="N21" s="27" t="n">
        <v>285.61</v>
      </c>
      <c r="O21" s="27" t="n">
        <v>1314.48</v>
      </c>
      <c r="P21" s="28">
        <f>IF($E21="","",IF($E21&gt;0.05,"WARM dev3 — spike risk UP",IF($E21&lt;-0.05,"COLD dev3 — spike risk DOWN","")))</f>
        <v/>
      </c>
      <c r="Q21" s="29" t="n"/>
      <c r="R21" s="103" t="n"/>
      <c r="S21" s="99">
        <f>IF($J21="","",$J21*100)</f>
        <v/>
      </c>
    </row>
    <row r="22">
      <c r="A22" s="30" t="inlineStr">
        <is>
          <t>Jun 01</t>
        </is>
      </c>
      <c r="B22" s="31" t="n">
        <v>0.536</v>
      </c>
      <c r="C22" s="31" t="n"/>
      <c r="D22" s="32">
        <f>IF(OR($B22="",$C22=""),"",$B22-$C22)</f>
        <v/>
      </c>
      <c r="E22" s="32">
        <f>IF(COUNT($D20:$D22)&lt;3,"",AVERAGE($D20:$D22))</f>
        <v/>
      </c>
      <c r="F22" s="32">
        <f>IF($B22="","",AVERAGE($B$22:$B22))</f>
        <v/>
      </c>
      <c r="G22" s="32" t="n">
        <v>0.872</v>
      </c>
      <c r="H22" s="32" t="n">
        <v>0.471</v>
      </c>
      <c r="I22" s="32">
        <f>IF(OR($B22="",1&gt;=30),"",($D$9*30-SUM($B$22:$B22))/(30-1))</f>
        <v/>
      </c>
      <c r="J22" s="33">
        <f>IF($B22="","",1-NORMDIST($D$5,$D$6+$D$7*((SUM($B$22:$B22)+(30-1)*$H$7)/30),$D$11,TRUE))</f>
        <v/>
      </c>
      <c r="K22" s="34">
        <f>IF($J22="","",100*(1-$J22))</f>
        <v/>
      </c>
      <c r="L22" s="35" t="n">
        <v>15</v>
      </c>
      <c r="M22" s="34">
        <f>IF(OR($J22="",$L22=""),"",$L22-100*$J22)</f>
        <v/>
      </c>
      <c r="N22" s="36" t="n">
        <v>302.5</v>
      </c>
      <c r="O22" s="36" t="n">
        <v>1351.48</v>
      </c>
      <c r="P22" s="37">
        <f>IF($E22="","",IF($E22&gt;0.05,"WARM dev3 — spike risk UP",IF($E22&lt;-0.05,"COLD dev3 — spike risk DOWN","")))</f>
        <v/>
      </c>
      <c r="Q22" s="38" t="n"/>
      <c r="R22" s="97">
        <f>$D$9</f>
        <v/>
      </c>
      <c r="S22" s="99">
        <f>IF($J22="","",$J22*100)</f>
        <v/>
      </c>
    </row>
    <row r="23">
      <c r="A23" s="30" t="inlineStr">
        <is>
          <t>Jun 02</t>
        </is>
      </c>
      <c r="B23" s="31" t="n">
        <v>0.5669999999999999</v>
      </c>
      <c r="C23" s="31" t="n"/>
      <c r="D23" s="32">
        <f>IF(OR($B23="",$C23=""),"",$B23-$C23)</f>
        <v/>
      </c>
      <c r="E23" s="32">
        <f>IF(COUNT($D21:$D23)&lt;3,"",AVERAGE($D21:$D23))</f>
        <v/>
      </c>
      <c r="F23" s="32">
        <f>IF($B23="","",AVERAGE($B$22:$B23))</f>
        <v/>
      </c>
      <c r="G23" s="32" t="n">
        <v>0.8355</v>
      </c>
      <c r="H23" s="32" t="n">
        <v>0.483</v>
      </c>
      <c r="I23" s="32">
        <f>IF(OR($B23="",2&gt;=30),"",($D$9*30-SUM($B$22:$B23))/(30-2))</f>
        <v/>
      </c>
      <c r="J23" s="33">
        <f>IF($B23="","",1-NORMDIST($D$5,$D$6+$D$7*((SUM($B$22:$B23)+(30-2)*$H$7)/30),$D$11,TRUE))</f>
        <v/>
      </c>
      <c r="K23" s="34">
        <f>IF($J23="","",100*(1-$J23))</f>
        <v/>
      </c>
      <c r="L23" s="35" t="n">
        <v>13</v>
      </c>
      <c r="M23" s="34">
        <f>IF(OR($J23="",$L23=""),"",$L23-100*$J23)</f>
        <v/>
      </c>
      <c r="N23" s="36" t="n">
        <v>240.81</v>
      </c>
      <c r="O23" s="36" t="n">
        <v>1477.04</v>
      </c>
      <c r="P23" s="37">
        <f>IF($E23="","",IF($E23&gt;0.05,"WARM dev3 — spike risk UP",IF($E23&lt;-0.05,"COLD dev3 — spike risk DOWN","")))</f>
        <v/>
      </c>
      <c r="Q23" s="38" t="n"/>
      <c r="R23" s="97">
        <f>$D$9</f>
        <v/>
      </c>
      <c r="S23" s="99">
        <f>IF($J23="","",$J23*100)</f>
        <v/>
      </c>
    </row>
    <row r="24">
      <c r="A24" s="30" t="inlineStr">
        <is>
          <t>Jun 03</t>
        </is>
      </c>
      <c r="B24" s="31" t="n">
        <v>0.608</v>
      </c>
      <c r="C24" s="31" t="n"/>
      <c r="D24" s="32">
        <f>IF(OR($B24="",$C24=""),"",$B24-$C24)</f>
        <v/>
      </c>
      <c r="E24" s="32">
        <f>IF(COUNT($D22:$D24)&lt;3,"",AVERAGE($D22:$D24))</f>
        <v/>
      </c>
      <c r="F24" s="32">
        <f>IF($B24="","",AVERAGE($B$22:$B24))</f>
        <v/>
      </c>
      <c r="G24" s="32" t="n">
        <v>0.8003</v>
      </c>
      <c r="H24" s="32" t="n">
        <v>0.4997</v>
      </c>
      <c r="I24" s="32">
        <f>IF(OR($B24="",3&gt;=30),"",($D$9*30-SUM($B$22:$B24))/(30-3))</f>
        <v/>
      </c>
      <c r="J24" s="33">
        <f>IF($B24="","",1-NORMDIST($D$5,$D$6+$D$7*((SUM($B$22:$B24)+(30-3)*$H$7)/30),$D$11,TRUE))</f>
        <v/>
      </c>
      <c r="K24" s="34">
        <f>IF($J24="","",100*(1-$J24))</f>
        <v/>
      </c>
      <c r="L24" s="35" t="n">
        <v>13</v>
      </c>
      <c r="M24" s="34">
        <f>IF(OR($J24="",$L24=""),"",$L24-100*$J24)</f>
        <v/>
      </c>
      <c r="N24" s="36" t="n">
        <v>21</v>
      </c>
      <c r="O24" s="36" t="n">
        <v>1494.24</v>
      </c>
      <c r="P24" s="37">
        <f>IF($E24="","",IF($E24&gt;0.05,"WARM dev3 — spike risk UP",IF($E24&lt;-0.05,"COLD dev3 — spike risk DOWN","")))</f>
        <v/>
      </c>
      <c r="Q24" s="38" t="n"/>
      <c r="R24" s="97">
        <f>$D$9</f>
        <v/>
      </c>
      <c r="S24" s="99">
        <f>IF($J24="","",$J24*100)</f>
        <v/>
      </c>
    </row>
    <row r="25">
      <c r="A25" s="30" t="inlineStr">
        <is>
          <t>Jun 04</t>
        </is>
      </c>
      <c r="B25" s="31" t="n">
        <v>0.611</v>
      </c>
      <c r="C25" s="31" t="n"/>
      <c r="D25" s="32">
        <f>IF(OR($B25="",$C25=""),"",$B25-$C25)</f>
        <v/>
      </c>
      <c r="E25" s="32">
        <f>IF(COUNT($D23:$D25)&lt;3,"",AVERAGE($D23:$D25))</f>
        <v/>
      </c>
      <c r="F25" s="32">
        <f>IF($B25="","",AVERAGE($B$22:$B25))</f>
        <v/>
      </c>
      <c r="G25" s="32" t="n">
        <v>0.7755</v>
      </c>
      <c r="H25" s="32" t="n">
        <v>0.504</v>
      </c>
      <c r="I25" s="32">
        <f>IF(OR($B25="",4&gt;=30),"",($D$9*30-SUM($B$22:$B25))/(30-4))</f>
        <v/>
      </c>
      <c r="J25" s="33">
        <f>IF($B25="","",1-NORMDIST($D$5,$D$6+$D$7*((SUM($B$22:$B25)+(30-4)*$H$7)/30),$D$11,TRUE))</f>
        <v/>
      </c>
      <c r="K25" s="34">
        <f>IF($J25="","",100*(1-$J25))</f>
        <v/>
      </c>
      <c r="L25" s="35" t="n">
        <v>15</v>
      </c>
      <c r="M25" s="34">
        <f>IF(OR($J25="",$L25=""),"",$L25-100*$J25)</f>
        <v/>
      </c>
      <c r="N25" s="36" t="n">
        <v>27.22</v>
      </c>
      <c r="O25" s="36" t="n">
        <v>1506.46</v>
      </c>
      <c r="P25" s="37">
        <f>IF($E25="","",IF($E25&gt;0.05,"WARM dev3 — spike risk UP",IF($E25&lt;-0.05,"COLD dev3 — spike risk DOWN","")))</f>
        <v/>
      </c>
      <c r="Q25" s="38" t="n"/>
      <c r="R25" s="97">
        <f>$D$9</f>
        <v/>
      </c>
      <c r="S25" s="99">
        <f>IF($J25="","",$J25*100)</f>
        <v/>
      </c>
    </row>
    <row r="26">
      <c r="A26" s="30" t="inlineStr">
        <is>
          <t>Jun 05</t>
        </is>
      </c>
      <c r="B26" s="31" t="n">
        <v>0.605</v>
      </c>
      <c r="C26" s="31" t="n"/>
      <c r="D26" s="32">
        <f>IF(OR($B26="",$C26=""),"",$B26-$C26)</f>
        <v/>
      </c>
      <c r="E26" s="32">
        <f>IF(COUNT($D24:$D26)&lt;3,"",AVERAGE($D24:$D26))</f>
        <v/>
      </c>
      <c r="F26" s="32">
        <f>IF($B26="","",AVERAGE($B$22:$B26))</f>
        <v/>
      </c>
      <c r="G26" s="32" t="n">
        <v>0.7628</v>
      </c>
      <c r="H26" s="32" t="n">
        <v>0.5042</v>
      </c>
      <c r="I26" s="32">
        <f>IF(OR($B26="",5&gt;=30),"",($D$9*30-SUM($B$22:$B26))/(30-5))</f>
        <v/>
      </c>
      <c r="J26" s="33">
        <f>IF($B26="","",1-NORMDIST($D$5,$D$6+$D$7*((SUM($B$22:$B26)+(30-5)*$H$7)/30),$D$11,TRUE))</f>
        <v/>
      </c>
      <c r="K26" s="34">
        <f>IF($J26="","",100*(1-$J26))</f>
        <v/>
      </c>
      <c r="L26" s="35" t="n">
        <v>15</v>
      </c>
      <c r="M26" s="34">
        <f>IF(OR($J26="",$L26=""),"",$L26-100*$J26)</f>
        <v/>
      </c>
      <c r="N26" s="36" t="n">
        <v>720.73</v>
      </c>
      <c r="O26" s="36" t="n">
        <v>2152.76</v>
      </c>
      <c r="P26" s="37">
        <f>IF($E26="","",IF($E26&gt;0.05,"WARM dev3 — spike risk UP",IF($E26&lt;-0.05,"COLD dev3 — spike risk DOWN","")))</f>
        <v/>
      </c>
      <c r="Q26" s="38" t="n"/>
      <c r="R26" s="97">
        <f>$D$9</f>
        <v/>
      </c>
      <c r="S26" s="99">
        <f>IF($J26="","",$J26*100)</f>
        <v/>
      </c>
    </row>
    <row r="27">
      <c r="A27" s="30" t="inlineStr">
        <is>
          <t>Jun 06</t>
        </is>
      </c>
      <c r="B27" s="31" t="n">
        <v>0.651</v>
      </c>
      <c r="C27" s="31" t="n"/>
      <c r="D27" s="32">
        <f>IF(OR($B27="",$C27=""),"",$B27-$C27)</f>
        <v/>
      </c>
      <c r="E27" s="32">
        <f>IF(COUNT($D25:$D27)&lt;3,"",AVERAGE($D25:$D27))</f>
        <v/>
      </c>
      <c r="F27" s="32">
        <f>IF($B27="","",AVERAGE($B$22:$B27))</f>
        <v/>
      </c>
      <c r="G27" s="32" t="n">
        <v>0.7475000000000001</v>
      </c>
      <c r="H27" s="32" t="n">
        <v>0.5162</v>
      </c>
      <c r="I27" s="32">
        <f>IF(OR($B27="",6&gt;=30),"",($D$9*30-SUM($B$22:$B27))/(30-6))</f>
        <v/>
      </c>
      <c r="J27" s="33">
        <f>IF($B27="","",1-NORMDIST($D$5,$D$6+$D$7*((SUM($B$22:$B27)+(30-6)*$H$7)/30),$D$11,TRUE))</f>
        <v/>
      </c>
      <c r="K27" s="34">
        <f>IF($J27="","",100*(1-$J27))</f>
        <v/>
      </c>
      <c r="L27" s="35" t="n">
        <v>13</v>
      </c>
      <c r="M27" s="34">
        <f>IF(OR($J27="",$L27=""),"",$L27-100*$J27)</f>
        <v/>
      </c>
      <c r="N27" s="36" t="n">
        <v>280.5</v>
      </c>
      <c r="O27" s="36" t="n">
        <v>2427.1</v>
      </c>
      <c r="P27" s="37">
        <f>IF($E27="","",IF($E27&gt;0.05,"WARM dev3 — spike risk UP",IF($E27&lt;-0.05,"COLD dev3 — spike risk DOWN","")))</f>
        <v/>
      </c>
      <c r="Q27" s="38" t="n"/>
      <c r="R27" s="97">
        <f>$D$9</f>
        <v/>
      </c>
      <c r="S27" s="99">
        <f>IF($J27="","",$J27*100)</f>
        <v/>
      </c>
    </row>
    <row r="28">
      <c r="A28" s="30" t="inlineStr">
        <is>
          <t>Jun 07</t>
        </is>
      </c>
      <c r="B28" s="31" t="n">
        <v>0.653</v>
      </c>
      <c r="C28" s="31" t="n"/>
      <c r="D28" s="32">
        <f>IF(OR($B28="",$C28=""),"",$B28-$C28)</f>
        <v/>
      </c>
      <c r="E28" s="32">
        <f>IF(COUNT($D26:$D28)&lt;3,"",AVERAGE($D26:$D28))</f>
        <v/>
      </c>
      <c r="F28" s="32">
        <f>IF($B28="","",AVERAGE($B$22:$B28))</f>
        <v/>
      </c>
      <c r="G28" s="32" t="n">
        <v>0.7344000000000001</v>
      </c>
      <c r="H28" s="32" t="n">
        <v>0.538</v>
      </c>
      <c r="I28" s="32">
        <f>IF(OR($B28="",7&gt;=30),"",($D$9*30-SUM($B$22:$B28))/(30-7))</f>
        <v/>
      </c>
      <c r="J28" s="33">
        <f>IF($B28="","",1-NORMDIST($D$5,$D$6+$D$7*((SUM($B$22:$B28)+(30-7)*$H$7)/30),$D$11,TRUE))</f>
        <v/>
      </c>
      <c r="K28" s="34">
        <f>IF($J28="","",100*(1-$J28))</f>
        <v/>
      </c>
      <c r="L28" s="35" t="n">
        <v>12</v>
      </c>
      <c r="M28" s="34">
        <f>IF(OR($J28="",$L28=""),"",$L28-100*$J28)</f>
        <v/>
      </c>
      <c r="N28" s="36" t="n">
        <v>296.2</v>
      </c>
      <c r="O28" s="36" t="n">
        <v>2612.01</v>
      </c>
      <c r="P28" s="37">
        <f>IF($E28="","",IF($E28&gt;0.05,"WARM dev3 — spike risk UP",IF($E28&lt;-0.05,"COLD dev3 — spike risk DOWN","")))</f>
        <v/>
      </c>
      <c r="Q28" s="38" t="n"/>
      <c r="R28" s="97">
        <f>$D$9</f>
        <v/>
      </c>
      <c r="S28" s="99">
        <f>IF($J28="","",$J28*100)</f>
        <v/>
      </c>
    </row>
    <row r="29">
      <c r="A29" s="30" t="inlineStr">
        <is>
          <t>Jun 08</t>
        </is>
      </c>
      <c r="B29" s="31" t="n">
        <v>0.646</v>
      </c>
      <c r="C29" s="31" t="n"/>
      <c r="D29" s="32">
        <f>IF(OR($B29="",$C29=""),"",$B29-$C29)</f>
        <v/>
      </c>
      <c r="E29" s="32">
        <f>IF(COUNT($D27:$D29)&lt;3,"",AVERAGE($D27:$D29))</f>
        <v/>
      </c>
      <c r="F29" s="32">
        <f>IF($B29="","",AVERAGE($B$22:$B29))</f>
        <v/>
      </c>
      <c r="G29" s="32" t="n">
        <v>0.7288</v>
      </c>
      <c r="H29" s="32" t="n">
        <v>0.5689</v>
      </c>
      <c r="I29" s="32">
        <f>IF(OR($B29="",8&gt;=30),"",($D$9*30-SUM($B$22:$B29))/(30-8))</f>
        <v/>
      </c>
      <c r="J29" s="33">
        <f>IF($B29="","",1-NORMDIST($D$5,$D$6+$D$7*((SUM($B$22:$B29)+(30-8)*$H$7)/30),$D$11,TRUE))</f>
        <v/>
      </c>
      <c r="K29" s="34">
        <f>IF($J29="","",100*(1-$J29))</f>
        <v/>
      </c>
      <c r="L29" s="35" t="n">
        <v>10</v>
      </c>
      <c r="M29" s="34">
        <f>IF(OR($J29="",$L29=""),"",$L29-100*$J29)</f>
        <v/>
      </c>
      <c r="N29" s="36" t="n">
        <v>15.9</v>
      </c>
      <c r="O29" s="36" t="n">
        <v>2617.11</v>
      </c>
      <c r="P29" s="37">
        <f>IF($E29="","",IF($E29&gt;0.05,"WARM dev3 — spike risk UP",IF($E29&lt;-0.05,"COLD dev3 — spike risk DOWN","")))</f>
        <v/>
      </c>
      <c r="Q29" s="38" t="n"/>
      <c r="R29" s="97">
        <f>$D$9</f>
        <v/>
      </c>
      <c r="S29" s="99">
        <f>IF($J29="","",$J29*100)</f>
        <v/>
      </c>
    </row>
    <row r="30">
      <c r="A30" s="30" t="inlineStr">
        <is>
          <t>Jun 09</t>
        </is>
      </c>
      <c r="B30" s="31" t="n">
        <v>0.607</v>
      </c>
      <c r="C30" s="31" t="n"/>
      <c r="D30" s="32">
        <f>IF(OR($B30="",$C30=""),"",$B30-$C30)</f>
        <v/>
      </c>
      <c r="E30" s="32">
        <f>IF(COUNT($D28:$D30)&lt;3,"",AVERAGE($D28:$D30))</f>
        <v/>
      </c>
      <c r="F30" s="32">
        <f>IF($B30="","",AVERAGE($B$22:$B30))</f>
        <v/>
      </c>
      <c r="G30" s="32" t="n">
        <v>0.7276</v>
      </c>
      <c r="H30" s="32" t="n">
        <v>0.5967</v>
      </c>
      <c r="I30" s="32">
        <f>IF(OR($B30="",9&gt;=30),"",($D$9*30-SUM($B$22:$B30))/(30-9))</f>
        <v/>
      </c>
      <c r="J30" s="33">
        <f>IF($B30="","",1-NORMDIST($D$5,$D$6+$D$7*((SUM($B$22:$B30)+(30-9)*$H$7)/30),$D$11,TRUE))</f>
        <v/>
      </c>
      <c r="K30" s="34">
        <f>IF($J30="","",100*(1-$J30))</f>
        <v/>
      </c>
      <c r="L30" s="35" t="n">
        <v>11</v>
      </c>
      <c r="M30" s="34">
        <f>IF(OR($J30="",$L30=""),"",$L30-100*$J30)</f>
        <v/>
      </c>
      <c r="N30" s="36" t="n">
        <v>280.53</v>
      </c>
      <c r="O30" s="36" t="n">
        <v>2593.28</v>
      </c>
      <c r="P30" s="37">
        <f>IF($E30="","",IF($E30&gt;0.05,"WARM dev3 — spike risk UP",IF($E30&lt;-0.05,"COLD dev3 — spike risk DOWN","")))</f>
        <v/>
      </c>
      <c r="Q30" s="38" t="n"/>
      <c r="R30" s="97">
        <f>$D$9</f>
        <v/>
      </c>
      <c r="S30" s="99">
        <f>IF($J30="","",$J30*100)</f>
        <v/>
      </c>
    </row>
    <row r="31">
      <c r="A31" s="30" t="inlineStr">
        <is>
          <t>Jun 10</t>
        </is>
      </c>
      <c r="B31" s="31" t="n">
        <v>0.596</v>
      </c>
      <c r="C31" s="31" t="n"/>
      <c r="D31" s="32">
        <f>IF(OR($B31="",$C31=""),"",$B31-$C31)</f>
        <v/>
      </c>
      <c r="E31" s="32">
        <f>IF(COUNT($D29:$D31)&lt;3,"",AVERAGE($D29:$D31))</f>
        <v/>
      </c>
      <c r="F31" s="32">
        <f>IF($B31="","",AVERAGE($B$22:$B31))</f>
        <v/>
      </c>
      <c r="G31" s="32" t="n">
        <v>0.727</v>
      </c>
      <c r="H31" s="32" t="n">
        <v>0.6107</v>
      </c>
      <c r="I31" s="32">
        <f>IF(OR($B31="",10&gt;=30),"",($D$9*30-SUM($B$22:$B31))/(30-10))</f>
        <v/>
      </c>
      <c r="J31" s="33">
        <f>IF($B31="","",1-NORMDIST($D$5,$D$6+$D$7*((SUM($B$22:$B31)+(30-10)*$H$7)/30),$D$11,TRUE))</f>
        <v/>
      </c>
      <c r="K31" s="34">
        <f>IF($J31="","",100*(1-$J31))</f>
        <v/>
      </c>
      <c r="L31" s="35" t="n">
        <v>13</v>
      </c>
      <c r="M31" s="34">
        <f>IF(OR($J31="",$L31=""),"",$L31-100*$J31)</f>
        <v/>
      </c>
      <c r="N31" s="36" t="n">
        <v>191.71</v>
      </c>
      <c r="O31" s="36" t="n">
        <v>2623.13</v>
      </c>
      <c r="P31" s="37">
        <f>IF($E31="","",IF($E31&gt;0.05,"WARM dev3 — spike risk UP",IF($E31&lt;-0.05,"COLD dev3 — spike risk DOWN","")))</f>
        <v/>
      </c>
      <c r="Q31" s="38" t="n"/>
      <c r="R31" s="97">
        <f>$D$9</f>
        <v/>
      </c>
      <c r="S31" s="99">
        <f>IF($J31="","",$J31*100)</f>
        <v/>
      </c>
    </row>
    <row r="32">
      <c r="A32" s="30" t="inlineStr">
        <is>
          <t>Jun 11</t>
        </is>
      </c>
      <c r="B32" s="31" t="n">
        <v>0.622</v>
      </c>
      <c r="C32" s="31" t="n"/>
      <c r="D32" s="32">
        <f>IF(OR($B32="",$C32=""),"",$B32-$C32)</f>
        <v/>
      </c>
      <c r="E32" s="32">
        <f>IF(COUNT($D30:$D32)&lt;3,"",AVERAGE($D30:$D32))</f>
        <v/>
      </c>
      <c r="F32" s="32">
        <f>IF($B32="","",AVERAGE($B$22:$B32))</f>
        <v/>
      </c>
      <c r="G32" s="32" t="n">
        <v>0.7296</v>
      </c>
      <c r="H32" s="32" t="n">
        <v>0.6136</v>
      </c>
      <c r="I32" s="32">
        <f>IF(OR($B32="",11&gt;=30),"",($D$9*30-SUM($B$22:$B32))/(30-11))</f>
        <v/>
      </c>
      <c r="J32" s="33">
        <f>IF($B32="","",1-NORMDIST($D$5,$D$6+$D$7*((SUM($B$22:$B32)+(30-11)*$H$7)/30),$D$11,TRUE))</f>
        <v/>
      </c>
      <c r="K32" s="34">
        <f>IF($J32="","",100*(1-$J32))</f>
        <v/>
      </c>
      <c r="L32" s="35" t="n">
        <v>10</v>
      </c>
      <c r="M32" s="34">
        <f>IF(OR($J32="",$L32=""),"",$L32-100*$J32)</f>
        <v/>
      </c>
      <c r="N32" s="36" t="n">
        <v>431.61</v>
      </c>
      <c r="O32" s="36" t="n">
        <v>2305.82</v>
      </c>
      <c r="P32" s="37">
        <f>IF($E32="","",IF($E32&gt;0.05,"WARM dev3 — spike risk UP",IF($E32&lt;-0.05,"COLD dev3 — spike risk DOWN","")))</f>
        <v/>
      </c>
      <c r="Q32" s="38" t="n"/>
      <c r="R32" s="97">
        <f>$D$9</f>
        <v/>
      </c>
      <c r="S32" s="99">
        <f>IF($J32="","",$J32*100)</f>
        <v/>
      </c>
    </row>
    <row r="33">
      <c r="A33" s="30" t="inlineStr">
        <is>
          <t>Jun 12</t>
        </is>
      </c>
      <c r="B33" s="31" t="n">
        <v>0.6</v>
      </c>
      <c r="C33" s="31" t="n"/>
      <c r="D33" s="32">
        <f>IF(OR($B33="",$C33=""),"",$B33-$C33)</f>
        <v/>
      </c>
      <c r="E33" s="32">
        <f>IF(COUNT($D31:$D33)&lt;3,"",AVERAGE($D31:$D33))</f>
        <v/>
      </c>
      <c r="F33" s="32">
        <f>IF($B33="","",AVERAGE($B$22:$B33))</f>
        <v/>
      </c>
      <c r="G33" s="32" t="n">
        <v>0.735</v>
      </c>
      <c r="H33" s="32" t="n">
        <v>0.6121</v>
      </c>
      <c r="I33" s="32">
        <f>IF(OR($B33="",12&gt;=30),"",($D$9*30-SUM($B$22:$B33))/(30-12))</f>
        <v/>
      </c>
      <c r="J33" s="33">
        <f>IF($B33="","",1-NORMDIST($D$5,$D$6+$D$7*((SUM($B$22:$B33)+(30-12)*$H$7)/30),$D$11,TRUE))</f>
        <v/>
      </c>
      <c r="K33" s="34">
        <f>IF($J33="","",100*(1-$J33))</f>
        <v/>
      </c>
      <c r="L33" s="35" t="n">
        <v>9</v>
      </c>
      <c r="M33" s="34">
        <f>IF(OR($J33="",$L33=""),"",$L33-100*$J33)</f>
        <v/>
      </c>
      <c r="N33" s="36" t="n">
        <v>892.55</v>
      </c>
      <c r="O33" s="36" t="n">
        <v>2904.85</v>
      </c>
      <c r="P33" s="37">
        <f>IF($E33="","",IF($E33&gt;0.05,"WARM dev3 — spike risk UP",IF($E33&lt;-0.05,"COLD dev3 — spike risk DOWN","")))</f>
        <v/>
      </c>
      <c r="Q33" s="38" t="n"/>
      <c r="R33" s="97">
        <f>$D$9</f>
        <v/>
      </c>
      <c r="S33" s="99">
        <f>IF($J33="","",$J33*100)</f>
        <v/>
      </c>
    </row>
    <row r="34">
      <c r="A34" s="30" t="inlineStr">
        <is>
          <t>Jun 13</t>
        </is>
      </c>
      <c r="B34" s="31" t="n">
        <v>0.535</v>
      </c>
      <c r="C34" s="31" t="n"/>
      <c r="D34" s="32">
        <f>IF(OR($B34="",$C34=""),"",$B34-$C34)</f>
        <v/>
      </c>
      <c r="E34" s="32">
        <f>IF(COUNT($D32:$D34)&lt;3,"",AVERAGE($D32:$D34))</f>
        <v/>
      </c>
      <c r="F34" s="32">
        <f>IF($B34="","",AVERAGE($B$22:$B34))</f>
        <v/>
      </c>
      <c r="G34" s="32" t="n">
        <v>0.7433999999999999</v>
      </c>
      <c r="H34" s="32" t="n">
        <v>0.606</v>
      </c>
      <c r="I34" s="32">
        <f>IF(OR($B34="",13&gt;=30),"",($D$9*30-SUM($B$22:$B34))/(30-13))</f>
        <v/>
      </c>
      <c r="J34" s="33">
        <f>IF($B34="","",1-NORMDIST($D$5,$D$6+$D$7*((SUM($B$22:$B34)+(30-13)*$H$7)/30),$D$11,TRUE))</f>
        <v/>
      </c>
      <c r="K34" s="34">
        <f>IF($J34="","",100*(1-$J34))</f>
        <v/>
      </c>
      <c r="L34" s="35" t="n">
        <v>7</v>
      </c>
      <c r="M34" s="34">
        <f>IF(OR($J34="",$L34=""),"",$L34-100*$J34)</f>
        <v/>
      </c>
      <c r="N34" s="36" t="n">
        <v>759.46</v>
      </c>
      <c r="O34" s="36" t="n">
        <v>3299.97</v>
      </c>
      <c r="P34" s="37">
        <f>IF($E34="","",IF($E34&gt;0.05,"WARM dev3 — spike risk UP",IF($E34&lt;-0.05,"COLD dev3 — spike risk DOWN","")))</f>
        <v/>
      </c>
      <c r="Q34" s="38" t="n"/>
      <c r="R34" s="97">
        <f>$D$9</f>
        <v/>
      </c>
      <c r="S34" s="99">
        <f>IF($J34="","",$J34*100)</f>
        <v/>
      </c>
    </row>
    <row r="35">
      <c r="A35" s="30" t="inlineStr">
        <is>
          <t>Jun 14</t>
        </is>
      </c>
      <c r="B35" s="31" t="n">
        <v>0.456</v>
      </c>
      <c r="C35" s="31" t="n"/>
      <c r="D35" s="32">
        <f>IF(OR($B35="",$C35=""),"",$B35-$C35)</f>
        <v/>
      </c>
      <c r="E35" s="32">
        <f>IF(COUNT($D33:$D35)&lt;3,"",AVERAGE($D33:$D35))</f>
        <v/>
      </c>
      <c r="F35" s="32">
        <f>IF($B35="","",AVERAGE($B$22:$B35))</f>
        <v/>
      </c>
      <c r="G35" s="32" t="n">
        <v>0.749</v>
      </c>
      <c r="H35" s="32" t="n">
        <v>0.5977</v>
      </c>
      <c r="I35" s="32">
        <f>IF(OR($B35="",14&gt;=30),"",($D$9*30-SUM($B$22:$B35))/(30-14))</f>
        <v/>
      </c>
      <c r="J35" s="33">
        <f>IF($B35="","",1-NORMDIST($D$5,$D$6+$D$7*((SUM($B$22:$B35)+(30-14)*$H$7)/30),$D$11,TRUE))</f>
        <v/>
      </c>
      <c r="K35" s="34">
        <f>IF($J35="","",100*(1-$J35))</f>
        <v/>
      </c>
      <c r="L35" s="35" t="n">
        <v>8</v>
      </c>
      <c r="M35" s="34">
        <f>IF(OR($J35="",$L35=""),"",$L35-100*$J35)</f>
        <v/>
      </c>
      <c r="N35" s="36" t="n">
        <v>512.99</v>
      </c>
      <c r="O35" s="36" t="n">
        <v>3446</v>
      </c>
      <c r="P35" s="37">
        <f>IF($E35="","",IF($E35&gt;0.05,"WARM dev3 — spike risk UP",IF($E35&lt;-0.05,"COLD dev3 — spike risk DOWN","")))</f>
        <v/>
      </c>
      <c r="Q35" s="38" t="n"/>
      <c r="R35" s="97">
        <f>$D$9</f>
        <v/>
      </c>
      <c r="S35" s="99">
        <f>IF($J35="","",$J35*100)</f>
        <v/>
      </c>
    </row>
    <row r="36">
      <c r="A36" s="30" t="inlineStr">
        <is>
          <t>Jun 15</t>
        </is>
      </c>
      <c r="B36" s="31" t="n">
        <v>0.461</v>
      </c>
      <c r="C36" s="31" t="n"/>
      <c r="D36" s="32">
        <f>IF(OR($B36="",$C36=""),"",$B36-$C36)</f>
        <v/>
      </c>
      <c r="E36" s="32">
        <f>IF(COUNT($D34:$D36)&lt;3,"",AVERAGE($D34:$D36))</f>
        <v/>
      </c>
      <c r="F36" s="32">
        <f>IF($B36="","",AVERAGE($B$22:$B36))</f>
        <v/>
      </c>
      <c r="G36" s="32" t="n">
        <v>0.7487</v>
      </c>
      <c r="H36" s="32" t="n">
        <v>0.591</v>
      </c>
      <c r="I36" s="32">
        <f>IF(OR($B36="",15&gt;=30),"",($D$9*30-SUM($B$22:$B36))/(30-15))</f>
        <v/>
      </c>
      <c r="J36" s="33">
        <f>IF($B36="","",1-NORMDIST($D$5,$D$6+$D$7*((SUM($B$22:$B36)+(30-15)*$H$7)/30),$D$11,TRUE))</f>
        <v/>
      </c>
      <c r="K36" s="34">
        <f>IF($J36="","",100*(1-$J36))</f>
        <v/>
      </c>
      <c r="L36" s="35" t="n">
        <v>8</v>
      </c>
      <c r="M36" s="34">
        <f>IF(OR($J36="",$L36=""),"",$L36-100*$J36)</f>
        <v/>
      </c>
      <c r="N36" s="36" t="n">
        <v>400.01</v>
      </c>
      <c r="O36" s="36" t="n">
        <v>3725.85</v>
      </c>
      <c r="P36" s="37">
        <f>IF($E36="","",IF($E36&gt;0.05,"WARM dev3 — spike risk UP",IF($E36&lt;-0.05,"COLD dev3 — spike risk DOWN","")))</f>
        <v/>
      </c>
      <c r="Q36" s="38" t="n"/>
      <c r="R36" s="97">
        <f>$D$9</f>
        <v/>
      </c>
      <c r="S36" s="99">
        <f>IF($J36="","",$J36*100)</f>
        <v/>
      </c>
    </row>
    <row r="37">
      <c r="A37" s="30" t="inlineStr">
        <is>
          <t>Jun 16</t>
        </is>
      </c>
      <c r="B37" s="31" t="n">
        <v>0.493</v>
      </c>
      <c r="C37" s="31" t="n"/>
      <c r="D37" s="32">
        <f>IF(OR($B37="",$C37=""),"",$B37-$C37)</f>
        <v/>
      </c>
      <c r="E37" s="32">
        <f>IF(COUNT($D35:$D37)&lt;3,"",AVERAGE($D35:$D37))</f>
        <v/>
      </c>
      <c r="F37" s="32">
        <f>IF($B37="","",AVERAGE($B$22:$B37))</f>
        <v/>
      </c>
      <c r="G37" s="60" t="n">
        <v>0.7457</v>
      </c>
      <c r="H37" s="32" t="n">
        <v>0.5847</v>
      </c>
      <c r="I37" s="32">
        <f>IF(OR($B37="",16&gt;=30),"",($D$9*30-SUM($B$22:$B37))/(30-16))</f>
        <v/>
      </c>
      <c r="J37" s="33">
        <f>IF($B37="","",1-NORMDIST($D$5,$D$6+$D$7*((SUM($B$22:$B37)+(30-16)*$H$7)/30),$D$11,TRUE))</f>
        <v/>
      </c>
      <c r="K37" s="34">
        <f>IF($J37="","",100*(1-$J37))</f>
        <v/>
      </c>
      <c r="L37" s="35" t="n">
        <v>6</v>
      </c>
      <c r="M37" s="34">
        <f>IF(OR($J37="",$L37=""),"",$L37-100*$J37)</f>
        <v/>
      </c>
      <c r="N37" s="36" t="n">
        <v>1659.22</v>
      </c>
      <c r="O37" s="36" t="n">
        <v>4880.94</v>
      </c>
      <c r="P37" s="37">
        <f>IF($E37="","",IF($E37&gt;0.05,"WARM dev3 — spike risk UP",IF($E37&lt;-0.05,"COLD dev3 — spike risk DOWN","")))</f>
        <v/>
      </c>
      <c r="Q37" s="38" t="n"/>
      <c r="R37" s="97">
        <f>$D$9</f>
        <v/>
      </c>
      <c r="S37" s="99">
        <f>IF($J37="","",$J37*100)</f>
        <v/>
      </c>
    </row>
    <row r="38">
      <c r="A38" s="30" t="inlineStr">
        <is>
          <t>Jun 17</t>
        </is>
      </c>
      <c r="B38" s="31" t="n">
        <v>0.5</v>
      </c>
      <c r="C38" s="31" t="n"/>
      <c r="D38" s="32">
        <f>IF(OR($B38="",$C38=""),"",$B38-$C38)</f>
        <v/>
      </c>
      <c r="E38" s="32">
        <f>IF(COUNT($D36:$D38)&lt;3,"",AVERAGE($D36:$D38))</f>
        <v/>
      </c>
      <c r="F38" s="32">
        <f>IF($B38="","",AVERAGE($B$22:$B38))</f>
        <v/>
      </c>
      <c r="G38" s="59" t="n">
        <v>0.7431</v>
      </c>
      <c r="H38" s="32" t="n">
        <v>0.5782</v>
      </c>
      <c r="I38" s="32">
        <f>IF(OR($B38="",17&gt;=30),"",($D$9*30-SUM($B$22:$B38))/(30-17))</f>
        <v/>
      </c>
      <c r="J38" s="33">
        <f>IF($B38="","",1-NORMDIST($D$5,$D$6+$D$7*((SUM($B$22:$B38)+(30-17)*$H$7)/30),$D$11,TRUE))</f>
        <v/>
      </c>
      <c r="K38" s="34">
        <f>IF($J38="","",100*(1-$J38))</f>
        <v/>
      </c>
      <c r="L38" s="35" t="n">
        <v>6</v>
      </c>
      <c r="M38" s="34">
        <f>IF(OR($J38="",$L38=""),"",$L38-100*$J38)</f>
        <v/>
      </c>
      <c r="N38" s="36" t="n">
        <v>1167.58</v>
      </c>
      <c r="O38" s="36" t="n">
        <v>4314.18</v>
      </c>
      <c r="P38" s="37">
        <f>IF($E38="","",IF($E38&gt;0.05,"WARM dev3 — spike risk UP",IF($E38&lt;-0.05,"COLD dev3 — spike risk DOWN","")))</f>
        <v/>
      </c>
      <c r="Q38" s="38" t="n"/>
      <c r="R38" s="97">
        <f>$D$9</f>
        <v/>
      </c>
      <c r="S38" s="99">
        <f>IF($J38="","",$J38*100)</f>
        <v/>
      </c>
    </row>
    <row r="39">
      <c r="A39" s="30" t="inlineStr">
        <is>
          <t>Jun 18</t>
        </is>
      </c>
      <c r="B39" s="31" t="n">
        <v>0.501</v>
      </c>
      <c r="C39" s="31" t="n"/>
      <c r="D39" s="32">
        <f>IF(OR($B39="",$C39=""),"",$B39-$C39)</f>
        <v/>
      </c>
      <c r="E39" s="32">
        <f>IF(COUNT($D37:$D39)&lt;3,"",AVERAGE($D37:$D39))</f>
        <v/>
      </c>
      <c r="F39" s="32">
        <f>IF($B39="","",AVERAGE($B$22:$B39))</f>
        <v/>
      </c>
      <c r="G39" s="32" t="n">
        <v>0.7385</v>
      </c>
      <c r="H39" s="32" t="n">
        <v>0.5716</v>
      </c>
      <c r="I39" s="32">
        <f>IF(OR($B39="",18&gt;=30),"",($D$9*30-SUM($B$22:$B39))/(30-18))</f>
        <v/>
      </c>
      <c r="J39" s="33">
        <f>IF($B39="","",1-NORMDIST($D$5,$D$6+$D$7*((SUM($B$22:$B39)+(30-18)*$H$7)/30),$D$11,TRUE))</f>
        <v/>
      </c>
      <c r="K39" s="34">
        <f>IF($J39="","",100*(1-$J39))</f>
        <v/>
      </c>
      <c r="L39" s="35" t="n">
        <v>3</v>
      </c>
      <c r="M39" s="34">
        <f>IF(OR($J39="",$L39=""),"",$L39-100*$J39)</f>
        <v/>
      </c>
      <c r="N39" s="36" t="n">
        <v>428.88</v>
      </c>
      <c r="O39" s="36" t="n">
        <v>4604.09</v>
      </c>
      <c r="P39" s="37">
        <f>IF($E39="","",IF($E39&gt;0.05,"WARM dev3 — spike risk UP",IF($E39&lt;-0.05,"COLD dev3 — spike risk DOWN","")))</f>
        <v/>
      </c>
      <c r="Q39" s="38" t="n"/>
      <c r="R39" s="97">
        <f>$D$9</f>
        <v/>
      </c>
      <c r="S39" s="99">
        <f>IF($J39="","",$J39*100)</f>
        <v/>
      </c>
    </row>
    <row r="40">
      <c r="A40" s="30" t="inlineStr">
        <is>
          <t>Jun 19</t>
        </is>
      </c>
      <c r="B40" s="31" t="n">
        <v>0.464</v>
      </c>
      <c r="C40" s="31" t="n"/>
      <c r="D40" s="32">
        <f>IF(OR($B40="",$C40=""),"",$B40-$C40)</f>
        <v/>
      </c>
      <c r="E40" s="32">
        <f>IF(COUNT($D38:$D40)&lt;3,"",AVERAGE($D38:$D40))</f>
        <v/>
      </c>
      <c r="F40" s="32">
        <f>IF($B40="","",AVERAGE($B$22:$B40))</f>
        <v/>
      </c>
      <c r="G40" s="32" t="n">
        <v>0.7312</v>
      </c>
      <c r="H40" s="32" t="n">
        <v>0.5647</v>
      </c>
      <c r="I40" s="32">
        <f>IF(OR($B40="",19&gt;=30),"",($D$9*30-SUM($B$22:$B40))/(30-19))</f>
        <v/>
      </c>
      <c r="J40" s="33">
        <f>IF($B40="","",1-NORMDIST($D$5,$D$6+$D$7*((SUM($B$22:$B40)+(30-19)*$H$7)/30),$D$11,TRUE))</f>
        <v/>
      </c>
      <c r="K40" s="34">
        <f>IF($J40="","",100*(1-$J40))</f>
        <v/>
      </c>
      <c r="L40" s="35" t="n">
        <v>4</v>
      </c>
      <c r="M40" s="34">
        <f>IF(OR($J40="",$L40=""),"",$L40-100*$J40)</f>
        <v/>
      </c>
      <c r="N40" s="36" t="n">
        <v>982.83</v>
      </c>
      <c r="O40" s="36" t="n">
        <v>4747.61</v>
      </c>
      <c r="P40" s="37">
        <f>IF($E40="","",IF($E40&gt;0.05,"WARM dev3 — spike risk UP",IF($E40&lt;-0.05,"COLD dev3 — spike risk DOWN","")))</f>
        <v/>
      </c>
      <c r="Q40" s="38" t="n"/>
      <c r="R40" s="97">
        <f>$D$9</f>
        <v/>
      </c>
      <c r="S40" s="99">
        <f>IF($J40="","",$J40*100)</f>
        <v/>
      </c>
    </row>
    <row r="41">
      <c r="A41" s="30" t="inlineStr">
        <is>
          <t>Jun 20</t>
        </is>
      </c>
      <c r="B41" s="31" t="n">
        <v>0.472</v>
      </c>
      <c r="C41" s="31" t="n"/>
      <c r="D41" s="32">
        <f>IF(OR($B41="",$C41=""),"",$B41-$C41)</f>
        <v/>
      </c>
      <c r="E41" s="32">
        <f>IF(COUNT($D39:$D41)&lt;3,"",AVERAGE($D39:$D41))</f>
        <v/>
      </c>
      <c r="F41" s="32">
        <f>IF($B41="","",AVERAGE($B$22:$B41))</f>
        <v/>
      </c>
      <c r="G41" s="32" t="n">
        <v>0.722</v>
      </c>
      <c r="H41" s="32" t="n">
        <v>0.5543</v>
      </c>
      <c r="I41" s="32">
        <f>IF(OR($B41="",20&gt;=30),"",($D$9*30-SUM($B$22:$B41))/(30-20))</f>
        <v/>
      </c>
      <c r="J41" s="33">
        <f>IF($B41="","",1-NORMDIST($D$5,$D$6+$D$7*((SUM($B$22:$B41)+(30-20)*$H$7)/30),$D$11,TRUE))</f>
        <v/>
      </c>
      <c r="K41" s="34">
        <f>IF($J41="","",100*(1-$J41))</f>
        <v/>
      </c>
      <c r="L41" s="35" t="n">
        <v>4</v>
      </c>
      <c r="M41" s="34">
        <f>IF(OR($J41="",$L41=""),"",$L41-100*$J41)</f>
        <v/>
      </c>
      <c r="N41" s="36" t="n">
        <v>721.8200000000001</v>
      </c>
      <c r="O41" s="36" t="n">
        <v>5434.68</v>
      </c>
      <c r="P41" s="37">
        <f>IF($E41="","",IF($E41&gt;0.05,"WARM dev3 — spike risk UP",IF($E41&lt;-0.05,"COLD dev3 — spike risk DOWN","")))</f>
        <v/>
      </c>
      <c r="Q41" s="38" t="n"/>
      <c r="R41" s="97">
        <f>$D$9</f>
        <v/>
      </c>
      <c r="S41" s="99">
        <f>IF($J41="","",$J41*100)</f>
        <v/>
      </c>
    </row>
    <row r="42">
      <c r="A42" s="30" t="inlineStr">
        <is>
          <t>Jun 21</t>
        </is>
      </c>
      <c r="B42" s="31" t="n">
        <v>0.529</v>
      </c>
      <c r="C42" s="31" t="n"/>
      <c r="D42" s="32">
        <f>IF(OR($B42="",$C42=""),"",$B42-$C42)</f>
        <v/>
      </c>
      <c r="E42" s="32">
        <f>IF(COUNT($D40:$D42)&lt;3,"",AVERAGE($D40:$D42))</f>
        <v/>
      </c>
      <c r="F42" s="32">
        <f>IF($B42="","",AVERAGE($B$22:$B42))</f>
        <v/>
      </c>
      <c r="G42" s="32" t="n">
        <v>0.7134</v>
      </c>
      <c r="H42" s="32" t="n">
        <v>0.5457</v>
      </c>
      <c r="I42" s="32">
        <f>IF(OR($B42="",21&gt;=30),"",($D$9*30-SUM($B$22:$B42))/(30-21))</f>
        <v/>
      </c>
      <c r="J42" s="33">
        <f>IF($B42="","",1-NORMDIST($D$5,$D$6+$D$7*((SUM($B$22:$B42)+(30-21)*$H$7)/30),$D$11,TRUE))</f>
        <v/>
      </c>
      <c r="K42" s="34">
        <f>IF($J42="","",100*(1-$J42))</f>
        <v/>
      </c>
      <c r="L42" s="35" t="n">
        <v>5</v>
      </c>
      <c r="M42" s="34">
        <f>IF(OR($J42="",$L42=""),"",$L42-100*$J42)</f>
        <v/>
      </c>
      <c r="N42" s="36" t="n">
        <v>748.13</v>
      </c>
      <c r="O42" s="36" t="n">
        <v>5852.41</v>
      </c>
      <c r="P42" s="37">
        <f>IF($E42="","",IF($E42&gt;0.05,"WARM dev3 — spike risk UP",IF($E42&lt;-0.05,"COLD dev3 — spike risk DOWN","")))</f>
        <v/>
      </c>
      <c r="Q42" s="38" t="n"/>
      <c r="R42" s="97">
        <f>$D$9</f>
        <v/>
      </c>
      <c r="S42" s="99">
        <f>IF($J42="","",$J42*100)</f>
        <v/>
      </c>
    </row>
    <row r="43">
      <c r="A43" s="30" t="inlineStr">
        <is>
          <t>Jun 22</t>
        </is>
      </c>
      <c r="B43" s="31" t="n">
        <v>0.547</v>
      </c>
      <c r="C43" s="31" t="n"/>
      <c r="D43" s="32">
        <f>IF(OR($B43="",$C43=""),"",$B43-$C43)</f>
        <v/>
      </c>
      <c r="E43" s="32">
        <f>IF(COUNT($D41:$D43)&lt;3,"",AVERAGE($D41:$D43))</f>
        <v/>
      </c>
      <c r="F43" s="32">
        <f>IF($B43="","",AVERAGE($B$22:$B43))</f>
        <v/>
      </c>
      <c r="G43" s="32" t="n">
        <v>0.7054</v>
      </c>
      <c r="H43" s="32" t="n">
        <v>0.5397</v>
      </c>
      <c r="I43" s="32">
        <f>IF(OR($B43="",22&gt;=30),"",($D$9*30-SUM($B$22:$B43))/(30-22))</f>
        <v/>
      </c>
      <c r="J43" s="33">
        <f>IF($B43="","",1-NORMDIST($D$5,$D$6+$D$7*((SUM($B$22:$B43)+(30-22)*$H$7)/30),$D$11,TRUE))</f>
        <v/>
      </c>
      <c r="K43" s="34">
        <f>IF($J43="","",100*(1-$J43))</f>
        <v/>
      </c>
      <c r="L43" s="35" t="n">
        <v>3</v>
      </c>
      <c r="M43" s="34">
        <f>IF(OR($J43="",$L43=""),"",$L43-100*$J43)</f>
        <v/>
      </c>
      <c r="N43" s="36" t="n">
        <v>1069.21</v>
      </c>
      <c r="O43" s="36" t="n">
        <v>6391.79</v>
      </c>
      <c r="P43" s="37">
        <f>IF($E43="","",IF($E43&gt;0.05,"WARM dev3 — spike risk UP",IF($E43&lt;-0.05,"COLD dev3 — spike risk DOWN","")))</f>
        <v/>
      </c>
      <c r="Q43" s="38" t="n"/>
      <c r="R43" s="97">
        <f>$D$9</f>
        <v/>
      </c>
      <c r="S43" s="99">
        <f>IF($J43="","",$J43*100)</f>
        <v/>
      </c>
    </row>
    <row r="44">
      <c r="A44" s="30" t="inlineStr">
        <is>
          <t>Jun 23</t>
        </is>
      </c>
      <c r="B44" s="31" t="n">
        <v>0.479</v>
      </c>
      <c r="C44" s="31" t="n"/>
      <c r="D44" s="32">
        <f>IF(OR($B44="",$C44=""),"",$B44-$C44)</f>
        <v/>
      </c>
      <c r="E44" s="32">
        <f>IF(COUNT($D42:$D44)&lt;3,"",AVERAGE($D42:$D44))</f>
        <v/>
      </c>
      <c r="F44" s="32">
        <f>IF($B44="","",AVERAGE($B$22:$B44))</f>
        <v/>
      </c>
      <c r="G44" s="32" t="n">
        <v>0.699</v>
      </c>
      <c r="H44" s="32" t="n">
        <v>0.5353</v>
      </c>
      <c r="I44" s="32">
        <f>IF(OR($B44="",23&gt;=30),"",($D$9*30-SUM($B$22:$B44))/(30-23))</f>
        <v/>
      </c>
      <c r="J44" s="33">
        <f>IF($B44="","",1-NORMDIST($D$5,$D$6+$D$7*((SUM($B$22:$B44)+(30-23)*$H$7)/30),$D$11,TRUE))</f>
        <v/>
      </c>
      <c r="K44" s="34">
        <f>IF($J44="","",100*(1-$J44))</f>
        <v/>
      </c>
      <c r="L44" s="35" t="n">
        <v>3</v>
      </c>
      <c r="M44" s="34">
        <f>IF(OR($J44="",$L44=""),"",$L44-100*$J44)</f>
        <v/>
      </c>
      <c r="N44" s="36" t="n">
        <v>236.95</v>
      </c>
      <c r="O44" s="36" t="n">
        <v>6505.3</v>
      </c>
      <c r="P44" s="37">
        <f>IF($E44="","",IF($E44&gt;0.05,"WARM dev3 — spike risk UP",IF($E44&lt;-0.05,"COLD dev3 — spike risk DOWN","")))</f>
        <v/>
      </c>
      <c r="Q44" s="38" t="n"/>
      <c r="R44" s="97">
        <f>$D$9</f>
        <v/>
      </c>
      <c r="S44" s="99">
        <f>IF($J44="","",$J44*100)</f>
        <v/>
      </c>
    </row>
    <row r="45">
      <c r="A45" s="30" t="inlineStr">
        <is>
          <t>Jun 24</t>
        </is>
      </c>
      <c r="B45" s="31" t="n">
        <v>0.442</v>
      </c>
      <c r="C45" s="31" t="n"/>
      <c r="D45" s="32">
        <f>IF(OR($B45="",$C45=""),"",$B45-$C45)</f>
        <v/>
      </c>
      <c r="E45" s="32">
        <f>IF(COUNT($D43:$D45)&lt;3,"",AVERAGE($D43:$D45))</f>
        <v/>
      </c>
      <c r="F45" s="32">
        <f>IF($B45="","",AVERAGE($B$22:$B45))</f>
        <v/>
      </c>
      <c r="G45" s="32" t="n">
        <v>0.6928</v>
      </c>
      <c r="H45" s="32" t="n">
        <v>0.5349</v>
      </c>
      <c r="I45" s="32">
        <f>IF(OR($B45="",24&gt;=30),"",($D$9*30-SUM($B$22:$B45))/(30-24))</f>
        <v/>
      </c>
      <c r="J45" s="33">
        <f>IF($B45="","",1-NORMDIST($D$5,$D$6+$D$7*((SUM($B$22:$B45)+(30-24)*$H$7)/30),$D$11,TRUE))</f>
        <v/>
      </c>
      <c r="K45" s="34">
        <f>IF($J45="","",100*(1-$J45))</f>
        <v/>
      </c>
      <c r="L45" s="35" t="n">
        <v>5</v>
      </c>
      <c r="M45" s="34">
        <f>IF(OR($J45="",$L45=""),"",$L45-100*$J45)</f>
        <v/>
      </c>
      <c r="N45" s="36" t="n">
        <v>774.95</v>
      </c>
      <c r="O45" s="36" t="n">
        <v>6708.46</v>
      </c>
      <c r="P45" s="37">
        <f>IF($E45="","",IF($E45&gt;0.05,"WARM dev3 — spike risk UP",IF($E45&lt;-0.05,"COLD dev3 — spike risk DOWN","")))</f>
        <v/>
      </c>
      <c r="Q45" s="38" t="n"/>
      <c r="R45" s="97">
        <f>$D$9</f>
        <v/>
      </c>
      <c r="S45" s="99">
        <f>IF($J45="","",$J45*100)</f>
        <v/>
      </c>
    </row>
    <row r="46">
      <c r="A46" s="30" t="inlineStr">
        <is>
          <t>Jun 25</t>
        </is>
      </c>
      <c r="B46" s="31" t="n">
        <v>0.488</v>
      </c>
      <c r="C46" s="31" t="n"/>
      <c r="D46" s="32">
        <f>IF(OR($B46="",$C46=""),"",$B46-$C46)</f>
        <v/>
      </c>
      <c r="E46" s="32">
        <f>IF(COUNT($D44:$D46)&lt;3,"",AVERAGE($D44:$D46))</f>
        <v/>
      </c>
      <c r="F46" s="32">
        <f>IF($B46="","",AVERAGE($B$22:$B46))</f>
        <v/>
      </c>
      <c r="G46" s="32" t="n">
        <v>0.6879</v>
      </c>
      <c r="H46" s="32" t="n">
        <v>0.5366</v>
      </c>
      <c r="I46" s="32">
        <f>IF(OR($B46="",25&gt;=30),"",($D$9*30-SUM($B$22:$B46))/(30-25))</f>
        <v/>
      </c>
      <c r="J46" s="33">
        <f>IF($B46="","",1-NORMDIST($D$5,$D$6+$D$7*((SUM($B$22:$B46)+(30-25)*$H$7)/30),$D$11,TRUE))</f>
        <v/>
      </c>
      <c r="K46" s="34">
        <f>IF($J46="","",100*(1-$J46))</f>
        <v/>
      </c>
      <c r="L46" s="35" t="n">
        <v>1</v>
      </c>
      <c r="M46" s="34">
        <f>IF(OR($J46="",$L46=""),"",$L46-100*$J46)</f>
        <v/>
      </c>
      <c r="N46" s="36" t="n">
        <v>1464.24</v>
      </c>
      <c r="O46" s="36" t="n">
        <v>6731.51</v>
      </c>
      <c r="P46" s="37">
        <f>IF($E46="","",IF($E46&gt;0.05,"WARM dev3 — spike risk UP",IF($E46&lt;-0.05,"COLD dev3 — spike risk DOWN","")))</f>
        <v/>
      </c>
      <c r="Q46" s="38" t="n"/>
      <c r="R46" s="97">
        <f>$D$9</f>
        <v/>
      </c>
      <c r="S46" s="99">
        <f>IF($J46="","",$J46*100)</f>
        <v/>
      </c>
    </row>
    <row r="47">
      <c r="A47" s="30" t="inlineStr">
        <is>
          <t>Jun 26</t>
        </is>
      </c>
      <c r="B47" s="31" t="n">
        <v>0.573</v>
      </c>
      <c r="C47" s="31" t="n"/>
      <c r="D47" s="32">
        <f>IF(OR($B47="",$C47=""),"",$B47-$C47)</f>
        <v/>
      </c>
      <c r="E47" s="32">
        <f>IF(COUNT($D45:$D47)&lt;3,"",AVERAGE($D45:$D47))</f>
        <v/>
      </c>
      <c r="F47" s="32">
        <f>IF($B47="","",AVERAGE($B$22:$B47))</f>
        <v/>
      </c>
      <c r="G47" s="32" t="n">
        <v>0.6851</v>
      </c>
      <c r="H47" s="32" t="n">
        <v>0.5379</v>
      </c>
      <c r="I47" s="32">
        <f>IF(OR($B47="",26&gt;=30),"",($D$9*30-SUM($B$22:$B47))/(30-26))</f>
        <v/>
      </c>
      <c r="J47" s="33">
        <f>IF($B47="","",1-NORMDIST($D$5,$D$6+$D$7*((SUM($B$22:$B47)+(30-26)*$H$7)/30),$D$11,TRUE))</f>
        <v/>
      </c>
      <c r="K47" s="34">
        <f>IF($J47="","",100*(1-$J47))</f>
        <v/>
      </c>
      <c r="L47" s="35" t="n">
        <v>4</v>
      </c>
      <c r="M47" s="34">
        <f>IF(OR($J47="",$L47=""),"",$L47-100*$J47)</f>
        <v/>
      </c>
      <c r="N47" s="36" t="n">
        <v>1797.72</v>
      </c>
      <c r="O47" s="36" t="n">
        <v>8045.86</v>
      </c>
      <c r="P47" s="37">
        <f>IF($E47="","",IF($E47&gt;0.05,"WARM dev3 — spike risk UP",IF($E47&lt;-0.05,"COLD dev3 — spike risk DOWN","")))</f>
        <v/>
      </c>
      <c r="Q47" s="38" t="n"/>
      <c r="R47" s="97">
        <f>$D$9</f>
        <v/>
      </c>
      <c r="S47" s="99">
        <f>IF($J47="","",$J47*100)</f>
        <v/>
      </c>
    </row>
    <row r="48">
      <c r="A48" s="30" t="inlineStr">
        <is>
          <t>Jun 27</t>
        </is>
      </c>
      <c r="B48" s="31" t="n">
        <v>0.609</v>
      </c>
      <c r="C48" s="31" t="n"/>
      <c r="D48" s="32">
        <f>IF(OR($B48="",$C48=""),"",$B48-$C48)</f>
        <v/>
      </c>
      <c r="E48" s="32">
        <f>IF(COUNT($D46:$D48)&lt;3,"",AVERAGE($D46:$D48))</f>
        <v/>
      </c>
      <c r="F48" s="32">
        <f>IF($B48="","",AVERAGE($B$22:$B48))</f>
        <v/>
      </c>
      <c r="G48" s="32" t="n">
        <v>0.6828</v>
      </c>
      <c r="H48" s="32" t="n">
        <v>0.5387</v>
      </c>
      <c r="I48" s="32">
        <f>IF(OR($B48="",27&gt;=30),"",($D$9*30-SUM($B$22:$B48))/(30-27))</f>
        <v/>
      </c>
      <c r="J48" s="33">
        <f>IF($B48="","",1-NORMDIST($D$5,$D$6+$D$7*((SUM($B$22:$B48)+(30-27)*$H$7)/30),$D$11,TRUE))</f>
        <v/>
      </c>
      <c r="K48" s="34">
        <f>IF($J48="","",100*(1-$J48))</f>
        <v/>
      </c>
      <c r="L48" s="35" t="n">
        <v>5</v>
      </c>
      <c r="M48" s="34">
        <f>IF(OR($J48="",$L48=""),"",$L48-100*$J48)</f>
        <v/>
      </c>
      <c r="N48" s="36" t="n">
        <v>2166.13</v>
      </c>
      <c r="O48" s="36" t="n">
        <v>8874.530000000001</v>
      </c>
      <c r="P48" s="37">
        <f>IF($E48="","",IF($E48&gt;0.05,"WARM dev3 — spike risk UP",IF($E48&lt;-0.05,"COLD dev3 — spike risk DOWN","")))</f>
        <v/>
      </c>
      <c r="Q48" s="38" t="n"/>
      <c r="R48" s="97">
        <f>$D$9</f>
        <v/>
      </c>
      <c r="S48" s="99">
        <f>IF($J48="","",$J48*100)</f>
        <v/>
      </c>
    </row>
    <row r="49">
      <c r="A49" s="30" t="inlineStr">
        <is>
          <t>Jun 28</t>
        </is>
      </c>
      <c r="B49" s="31" t="n">
        <v>0.653</v>
      </c>
      <c r="C49" s="31" t="n"/>
      <c r="D49" s="32">
        <f>IF(OR($B49="",$C49=""),"",$B49-$C49)</f>
        <v/>
      </c>
      <c r="E49" s="32">
        <f>IF(COUNT($D47:$D49)&lt;3,"",AVERAGE($D47:$D49))</f>
        <v/>
      </c>
      <c r="F49" s="32">
        <f>IF($B49="","",AVERAGE($B$22:$B49))</f>
        <v/>
      </c>
      <c r="G49" s="32" t="n">
        <v>0.6804</v>
      </c>
      <c r="H49" s="32" t="n">
        <v>0.5377</v>
      </c>
      <c r="I49" s="32">
        <f>IF(OR($B49="",28&gt;=30),"",($D$9*30-SUM($B$22:$B49))/(30-28))</f>
        <v/>
      </c>
      <c r="J49" s="33">
        <f>IF($B49="","",1-NORMDIST($D$5,$D$6+$D$7*((SUM($B$22:$B49)+(30-28)*$H$7)/30),$D$11,TRUE))</f>
        <v/>
      </c>
      <c r="K49" s="34">
        <f>IF($J49="","",100*(1-$J49))</f>
        <v/>
      </c>
      <c r="L49" s="35" t="n">
        <v>5</v>
      </c>
      <c r="M49" s="34">
        <f>IF(OR($J49="",$L49=""),"",$L49-100*$J49)</f>
        <v/>
      </c>
      <c r="N49" s="36" t="n">
        <v>836.5599999999999</v>
      </c>
      <c r="O49" s="36" t="n">
        <v>9529.049999999999</v>
      </c>
      <c r="P49" s="37">
        <f>IF($E49="","",IF($E49&gt;0.05,"WARM dev3 — spike risk UP",IF($E49&lt;-0.05,"COLD dev3 — spike risk DOWN","")))</f>
        <v/>
      </c>
      <c r="Q49" s="38" t="n"/>
      <c r="R49" s="97">
        <f>$D$9</f>
        <v/>
      </c>
      <c r="S49" s="99">
        <f>IF($J49="","",$J49*100)</f>
        <v/>
      </c>
    </row>
    <row r="50">
      <c r="A50" s="30" t="inlineStr">
        <is>
          <t>Jun 29</t>
        </is>
      </c>
      <c r="B50" s="31" t="n">
        <v>0.64</v>
      </c>
      <c r="C50" s="31" t="n"/>
      <c r="D50" s="32">
        <f>IF(OR($B50="",$C50=""),"",$B50-$C50)</f>
        <v/>
      </c>
      <c r="E50" s="32">
        <f>IF(COUNT($D48:$D50)&lt;3,"",AVERAGE($D48:$D50))</f>
        <v/>
      </c>
      <c r="F50" s="32">
        <f>IF($B50="","",AVERAGE($B$22:$B50))</f>
        <v/>
      </c>
      <c r="G50" s="32" t="n">
        <v>0.6781</v>
      </c>
      <c r="H50" s="32" t="n">
        <v>0.5361</v>
      </c>
      <c r="I50" s="32">
        <f>IF(OR($B50="",29&gt;=30),"",($D$9*30-SUM($B$22:$B50))/(30-29))</f>
        <v/>
      </c>
      <c r="J50" s="33">
        <f>IF($B50="","",1-NORMDIST($D$5,$D$6+$D$7*((SUM($B$22:$B50)+(30-29)*$H$7)/30),$D$11,TRUE))</f>
        <v/>
      </c>
      <c r="K50" s="34">
        <f>IF($J50="","",100*(1-$J50))</f>
        <v/>
      </c>
      <c r="L50" s="35" t="n">
        <v>6</v>
      </c>
      <c r="M50" s="34">
        <f>IF(OR($J50="",$L50=""),"",$L50-100*$J50)</f>
        <v/>
      </c>
      <c r="N50" s="36" t="n">
        <v>4397.78</v>
      </c>
      <c r="O50" s="36" t="n">
        <v>10426.16</v>
      </c>
      <c r="P50" s="37">
        <f>IF($E50="","",IF($E50&gt;0.05,"WARM dev3 — spike risk UP",IF($E50&lt;-0.05,"COLD dev3 — spike risk DOWN","")))</f>
        <v/>
      </c>
      <c r="Q50" s="38" t="n"/>
      <c r="R50" s="97">
        <f>$D$9</f>
        <v/>
      </c>
      <c r="S50" s="99">
        <f>IF($J50="","",$J50*100)</f>
        <v/>
      </c>
    </row>
    <row r="51">
      <c r="A51" s="30" t="inlineStr">
        <is>
          <t>Jun 30</t>
        </is>
      </c>
      <c r="B51" s="31" t="n">
        <v>0.635</v>
      </c>
      <c r="C51" s="31" t="n"/>
      <c r="D51" s="32">
        <f>IF(OR($B51="",$C51=""),"",$B51-$C51)</f>
        <v/>
      </c>
      <c r="E51" s="32">
        <f>IF(COUNT($D49:$D51)&lt;3,"",AVERAGE($D49:$D51))</f>
        <v/>
      </c>
      <c r="F51" s="32">
        <f>IF($B51="","",AVERAGE($B$22:$B51))</f>
        <v/>
      </c>
      <c r="G51" s="32" t="n">
        <v>0.6753</v>
      </c>
      <c r="H51" s="32" t="n">
        <v>0.532</v>
      </c>
      <c r="I51" s="32">
        <f>IF(OR($B51="",30&gt;=30),"",($D$9*30-SUM($B$22:$B51))/(30-30))</f>
        <v/>
      </c>
      <c r="J51" s="33">
        <f>IF($B51="","",1-NORMDIST($D$5,$D$6+$D$7*((SUM($B$22:$B51)+(30-30)*$H$7)/30),$D$11,TRUE))</f>
        <v/>
      </c>
      <c r="K51" s="34">
        <f>IF($J51="","",100*(1-$J51))</f>
        <v/>
      </c>
      <c r="L51" s="35" t="n">
        <v>3</v>
      </c>
      <c r="M51" s="34">
        <f>IF(OR($J51="",$L51=""),"",$L51-100*$J51)</f>
        <v/>
      </c>
      <c r="N51" s="36" t="n">
        <v>1818.51</v>
      </c>
      <c r="O51" s="36" t="n">
        <v>10493.42</v>
      </c>
      <c r="P51" s="37">
        <f>IF($E51="","",IF($E51&gt;0.05,"WARM dev3 — spike risk UP",IF($E51&lt;-0.05,"COLD dev3 — spike risk DOWN","")))</f>
        <v/>
      </c>
      <c r="Q51" s="38" t="n"/>
      <c r="R51" s="97">
        <f>$D$9</f>
        <v/>
      </c>
      <c r="S51" s="99">
        <f>IF($J51="","",$J51*100)</f>
        <v/>
      </c>
    </row>
    <row r="52">
      <c r="A52" s="57" t="inlineStr">
        <is>
          <t>MEAN</t>
        </is>
      </c>
      <c r="B52" s="55">
        <f>AVERAGE(B21:B51)</f>
        <v/>
      </c>
      <c r="C52" s="55">
        <f>AVERAGE(C21:C51)</f>
        <v/>
      </c>
      <c r="D52" s="55">
        <f>AVERAGE(D21:D51)</f>
        <v/>
      </c>
      <c r="E52" s="55">
        <f>AVERAGE(E21:E51)</f>
        <v/>
      </c>
      <c r="F52" s="55">
        <f>AVERAGE(F21:F51)</f>
        <v/>
      </c>
      <c r="G52" s="55">
        <f>AVERAGE(G21:G51)</f>
        <v/>
      </c>
      <c r="H52" s="55">
        <f>AVERAGE(H21:H51)</f>
        <v/>
      </c>
      <c r="I52" s="55" t="n"/>
      <c r="J52" s="58">
        <f>AVERAGE(J21:J51)</f>
        <v/>
      </c>
      <c r="K52" s="56">
        <f>AVERAGE(K21:K51)</f>
        <v/>
      </c>
      <c r="L52" s="56">
        <f>AVERAGE(L18:L51)</f>
        <v/>
      </c>
      <c r="M52" s="56">
        <f>AVERAGE(M18:M51)</f>
        <v/>
      </c>
      <c r="N52" s="56">
        <f>AVERAGE(N18:N51)</f>
        <v/>
      </c>
      <c r="O52" s="56">
        <f>AVERAGE(O18:O51)</f>
        <v/>
      </c>
    </row>
    <row r="54">
      <c r="A54" s="157" t="inlineStr">
        <is>
          <t>CALIBRATION — June 1990–2025</t>
        </is>
      </c>
      <c r="E54" s="157" t="inlineStr">
        <is>
          <t>σ_f BY k</t>
        </is>
      </c>
      <c r="F54" s="157" t="n"/>
      <c r="H54" s="157" t="inlineStr">
        <is>
          <t>TRANSLATION BIAS — 2026 prints</t>
        </is>
      </c>
    </row>
    <row r="55">
      <c r="A55" s="40" t="inlineStr">
        <is>
          <t>Year</t>
        </is>
      </c>
      <c r="B55" s="40" t="inlineStr">
        <is>
          <t>ERA5 mean</t>
        </is>
      </c>
      <c r="C55" s="40" t="inlineStr">
        <is>
          <t>NOAA printed</t>
        </is>
      </c>
      <c r="E55" s="40" t="inlineStr">
        <is>
          <t>k</t>
        </is>
      </c>
      <c r="F55" s="40" t="inlineStr">
        <is>
          <t>σ_f</t>
        </is>
      </c>
      <c r="H55" s="40" t="inlineStr">
        <is>
          <t>Month</t>
        </is>
      </c>
      <c r="I55" s="40" t="inlineStr">
        <is>
          <t>ERA5</t>
        </is>
      </c>
      <c r="J55" s="40" t="inlineStr">
        <is>
          <t>NOAA</t>
        </is>
      </c>
      <c r="K55" s="40" t="inlineStr">
        <is>
          <t>Fitted</t>
        </is>
      </c>
      <c r="L55" s="40" t="inlineStr">
        <is>
          <t>Residual</t>
        </is>
      </c>
    </row>
    <row r="56">
      <c r="A56" s="41" t="n">
        <v>1990</v>
      </c>
      <c r="B56" s="42" t="n">
        <v>-0.1834</v>
      </c>
      <c r="C56" s="43" t="n">
        <v>0.36</v>
      </c>
      <c r="E56" s="49" t="n">
        <v>0</v>
      </c>
      <c r="F56" s="50" t="n">
        <v>0.092</v>
      </c>
      <c r="H56" s="44" t="inlineStr">
        <is>
          <t>Jan</t>
        </is>
      </c>
      <c r="I56" s="45" t="n">
        <v>0.5096000000000001</v>
      </c>
      <c r="J56" s="46" t="n">
        <v>1.1</v>
      </c>
      <c r="K56" s="47" t="n">
        <v>1.0963</v>
      </c>
      <c r="L56" s="48" t="n">
        <v>0.0037</v>
      </c>
    </row>
    <row r="57">
      <c r="A57" s="41" t="n">
        <v>1991</v>
      </c>
      <c r="B57" s="42" t="n">
        <v>0.0289</v>
      </c>
      <c r="C57" s="43" t="n">
        <v>0.53</v>
      </c>
      <c r="E57" s="49" t="n">
        <v>1</v>
      </c>
      <c r="F57" s="50" t="n">
        <v>0.0764</v>
      </c>
      <c r="H57" s="44" t="inlineStr">
        <is>
          <t>Feb</t>
        </is>
      </c>
      <c r="I57" s="45" t="n">
        <v>0.5361</v>
      </c>
      <c r="J57" s="46" t="n">
        <v>1.18</v>
      </c>
      <c r="K57" s="47" t="n">
        <v>1.1486</v>
      </c>
      <c r="L57" s="48" t="n">
        <v>0.0314</v>
      </c>
    </row>
    <row r="58">
      <c r="A58" s="41" t="n">
        <v>1992</v>
      </c>
      <c r="B58" s="42" t="n">
        <v>-0.3217</v>
      </c>
      <c r="C58" s="43" t="n">
        <v>0.28</v>
      </c>
      <c r="E58" s="49" t="n">
        <v>2</v>
      </c>
      <c r="F58" s="50" t="n">
        <v>0.0738</v>
      </c>
      <c r="H58" s="44" t="inlineStr">
        <is>
          <t>Mar</t>
        </is>
      </c>
      <c r="I58" s="45" t="n">
        <v>0.534</v>
      </c>
      <c r="J58" s="46" t="n">
        <v>1.23</v>
      </c>
      <c r="K58" s="47" t="n">
        <v>1.1708</v>
      </c>
      <c r="L58" s="48" t="n">
        <v>0.0592</v>
      </c>
    </row>
    <row r="59">
      <c r="A59" s="41" t="n">
        <v>1993</v>
      </c>
      <c r="B59" s="42" t="n">
        <v>-0.3015</v>
      </c>
      <c r="C59" s="43" t="n">
        <v>0.28</v>
      </c>
      <c r="E59" s="49" t="n">
        <v>3</v>
      </c>
      <c r="F59" s="50" t="n">
        <v>0.07199999999999999</v>
      </c>
      <c r="H59" s="44" t="inlineStr">
        <is>
          <t>Apr</t>
        </is>
      </c>
      <c r="I59" s="45" t="n">
        <v>0.5232</v>
      </c>
      <c r="J59" s="46" t="n">
        <v>1.15</v>
      </c>
      <c r="K59" s="47" t="n">
        <v>1.116</v>
      </c>
      <c r="L59" s="48" t="n">
        <v>0.034</v>
      </c>
    </row>
    <row r="60">
      <c r="A60" s="41" t="n">
        <v>1994</v>
      </c>
      <c r="B60" s="42" t="n">
        <v>-0.253</v>
      </c>
      <c r="C60" s="43" t="n">
        <v>0.4</v>
      </c>
      <c r="E60" s="49" t="n">
        <v>4</v>
      </c>
      <c r="F60" s="50" t="n">
        <v>0.07140000000000001</v>
      </c>
      <c r="H60" s="44" t="inlineStr">
        <is>
          <t>May</t>
        </is>
      </c>
      <c r="I60" s="45" t="n">
        <v>0.5455</v>
      </c>
      <c r="J60" s="46" t="n">
        <v>1.08</v>
      </c>
      <c r="K60" s="47" t="n">
        <v>1.0698</v>
      </c>
      <c r="L60" s="48" t="n">
        <v>0.0102</v>
      </c>
    </row>
    <row r="61">
      <c r="A61" s="41" t="n">
        <v>1995</v>
      </c>
      <c r="B61" s="42" t="n">
        <v>-0.08500000000000001</v>
      </c>
      <c r="C61" s="43" t="n">
        <v>0.46</v>
      </c>
      <c r="E61" s="49" t="n">
        <v>5</v>
      </c>
      <c r="F61" s="50" t="n">
        <v>0.0697</v>
      </c>
      <c r="H61" s="44" t="inlineStr">
        <is>
          <t>Jun</t>
        </is>
      </c>
      <c r="I61" s="45" t="n">
        <v>0.5593</v>
      </c>
      <c r="J61" s="46" t="n">
        <v>1.09</v>
      </c>
      <c r="K61" s="47" t="n">
        <v>1.0941</v>
      </c>
      <c r="L61" s="48" t="n">
        <v>-0.0041</v>
      </c>
    </row>
    <row r="62">
      <c r="A62" s="41" t="n">
        <v>1996</v>
      </c>
      <c r="B62" s="42" t="n">
        <v>-0.3148</v>
      </c>
      <c r="C62" s="43" t="n">
        <v>0.28</v>
      </c>
      <c r="E62" s="49" t="n">
        <v>6</v>
      </c>
      <c r="F62" s="50" t="n">
        <v>0.0664</v>
      </c>
      <c r="H62" s="51" t="inlineStr">
        <is>
          <t>MEAN</t>
        </is>
      </c>
      <c r="I62" s="45">
        <f>AVERAGE(I56:I61)</f>
        <v/>
      </c>
      <c r="J62" s="52">
        <f>AVERAGE(J56:J61)</f>
        <v/>
      </c>
      <c r="K62" s="52">
        <f>AVERAGE(K56:K61)</f>
        <v/>
      </c>
      <c r="L62" s="48">
        <f>AVERAGE(L56:L61)</f>
        <v/>
      </c>
    </row>
    <row r="63">
      <c r="A63" s="41" t="n">
        <v>1997</v>
      </c>
      <c r="B63" s="42" t="n">
        <v>-0.079</v>
      </c>
      <c r="C63" s="43" t="n">
        <v>0.57</v>
      </c>
      <c r="E63" s="49" t="n">
        <v>7</v>
      </c>
      <c r="F63" s="50" t="n">
        <v>0.06279999999999999</v>
      </c>
    </row>
    <row r="64">
      <c r="A64" s="41" t="n">
        <v>1998</v>
      </c>
      <c r="B64" s="42" t="n">
        <v>0.1843</v>
      </c>
      <c r="C64" s="43" t="n">
        <v>0.7</v>
      </c>
      <c r="E64" s="49" t="n">
        <v>8</v>
      </c>
      <c r="F64" s="50" t="n">
        <v>0.0599</v>
      </c>
    </row>
    <row r="65">
      <c r="A65" s="41" t="n">
        <v>1999</v>
      </c>
      <c r="B65" s="42" t="n">
        <v>-0.2311</v>
      </c>
      <c r="C65" s="43" t="n">
        <v>0.4</v>
      </c>
      <c r="E65" s="49" t="n">
        <v>9</v>
      </c>
      <c r="F65" s="50" t="n">
        <v>0.0569</v>
      </c>
    </row>
    <row r="66">
      <c r="A66" s="41" t="n">
        <v>2000</v>
      </c>
      <c r="B66" s="42" t="n">
        <v>-0.2429</v>
      </c>
      <c r="C66" s="43" t="n">
        <v>0.4</v>
      </c>
      <c r="E66" s="49" t="n">
        <v>10</v>
      </c>
      <c r="F66" s="50" t="n">
        <v>0.0535</v>
      </c>
    </row>
    <row r="67">
      <c r="A67" s="41" t="n">
        <v>2001</v>
      </c>
      <c r="B67" s="42" t="n">
        <v>-0.1099</v>
      </c>
      <c r="C67" s="43" t="n">
        <v>0.53</v>
      </c>
      <c r="E67" s="49" t="n">
        <v>11</v>
      </c>
      <c r="F67" s="50" t="n">
        <v>0.0496</v>
      </c>
    </row>
    <row r="68">
      <c r="A68" s="41" t="n">
        <v>2002</v>
      </c>
      <c r="B68" s="42" t="n">
        <v>0.0242</v>
      </c>
      <c r="C68" s="43" t="n">
        <v>0.55</v>
      </c>
      <c r="E68" s="49" t="n">
        <v>12</v>
      </c>
      <c r="F68" s="50" t="n">
        <v>0.046</v>
      </c>
    </row>
    <row r="69">
      <c r="A69" s="41" t="n">
        <v>2003</v>
      </c>
      <c r="B69" s="42" t="n">
        <v>-0.1377</v>
      </c>
      <c r="C69" s="43" t="n">
        <v>0.47</v>
      </c>
      <c r="E69" s="49" t="n">
        <v>13</v>
      </c>
      <c r="F69" s="50" t="n">
        <v>0.0428</v>
      </c>
    </row>
    <row r="70">
      <c r="A70" s="41" t="n">
        <v>2004</v>
      </c>
      <c r="B70" s="42" t="n">
        <v>-0.09229999999999999</v>
      </c>
      <c r="C70" s="43" t="n">
        <v>0.41</v>
      </c>
      <c r="E70" s="49" t="n">
        <v>14</v>
      </c>
      <c r="F70" s="50" t="n">
        <v>0.0405</v>
      </c>
    </row>
    <row r="71">
      <c r="A71" s="41" t="n">
        <v>2005</v>
      </c>
      <c r="B71" s="42" t="n">
        <v>0.0775</v>
      </c>
      <c r="C71" s="43" t="n">
        <v>0.64</v>
      </c>
      <c r="E71" s="49" t="n">
        <v>15</v>
      </c>
      <c r="F71" s="50" t="n">
        <v>0.0387</v>
      </c>
    </row>
    <row r="72">
      <c r="A72" s="41" t="n">
        <v>2006</v>
      </c>
      <c r="B72" s="42" t="n">
        <v>0.0822</v>
      </c>
      <c r="C72" s="43" t="n">
        <v>0.62</v>
      </c>
      <c r="E72" s="49" t="n">
        <v>16</v>
      </c>
      <c r="F72" s="50" t="n">
        <v>0.0367</v>
      </c>
    </row>
    <row r="73">
      <c r="A73" s="41" t="n">
        <v>2007</v>
      </c>
      <c r="B73" s="42" t="n">
        <v>-0.0227</v>
      </c>
      <c r="C73" s="43" t="n">
        <v>0.57</v>
      </c>
      <c r="E73" s="49" t="n">
        <v>17</v>
      </c>
      <c r="F73" s="50" t="n">
        <v>0.0346</v>
      </c>
    </row>
    <row r="74">
      <c r="A74" s="41" t="n">
        <v>2008</v>
      </c>
      <c r="B74" s="42" t="n">
        <v>-0.1973</v>
      </c>
      <c r="C74" s="43" t="n">
        <v>0.46</v>
      </c>
      <c r="E74" s="49" t="n">
        <v>18</v>
      </c>
      <c r="F74" s="50" t="n">
        <v>0.0323</v>
      </c>
    </row>
    <row r="75">
      <c r="A75" s="41" t="n">
        <v>2009</v>
      </c>
      <c r="B75" s="42" t="n">
        <v>0.0054</v>
      </c>
      <c r="C75" s="43" t="n">
        <v>0.67</v>
      </c>
      <c r="E75" s="49" t="n">
        <v>19</v>
      </c>
      <c r="F75" s="50" t="n">
        <v>0.0297</v>
      </c>
    </row>
    <row r="76">
      <c r="A76" s="41" t="n">
        <v>2010</v>
      </c>
      <c r="B76" s="42" t="n">
        <v>0.0876</v>
      </c>
      <c r="C76" s="43" t="n">
        <v>0.68</v>
      </c>
      <c r="E76" s="49" t="n">
        <v>20</v>
      </c>
      <c r="F76" s="50" t="n">
        <v>0.0271</v>
      </c>
    </row>
    <row r="77">
      <c r="A77" s="41" t="n">
        <v>2011</v>
      </c>
      <c r="B77" s="42" t="n">
        <v>0.0214</v>
      </c>
      <c r="C77" s="43" t="n">
        <v>0.6</v>
      </c>
      <c r="E77" s="49" t="n">
        <v>21</v>
      </c>
      <c r="F77" s="50" t="n">
        <v>0.0244</v>
      </c>
    </row>
    <row r="78">
      <c r="A78" s="41" t="n">
        <v>2012</v>
      </c>
      <c r="B78" s="42" t="n">
        <v>0.1205</v>
      </c>
      <c r="C78" s="43" t="n">
        <v>0.68</v>
      </c>
      <c r="E78" s="49" t="n">
        <v>22</v>
      </c>
      <c r="F78" s="50" t="n">
        <v>0.0218</v>
      </c>
    </row>
    <row r="79">
      <c r="A79" s="41" t="n">
        <v>2013</v>
      </c>
      <c r="B79" s="42" t="n">
        <v>0.1084</v>
      </c>
      <c r="C79" s="43" t="n">
        <v>0.7</v>
      </c>
      <c r="E79" s="49" t="n">
        <v>23</v>
      </c>
      <c r="F79" s="50" t="n">
        <v>0.0196</v>
      </c>
    </row>
    <row r="80">
      <c r="A80" s="41" t="n">
        <v>2014</v>
      </c>
      <c r="B80" s="42" t="n">
        <v>0.0732</v>
      </c>
      <c r="C80" s="43" t="n">
        <v>0.71</v>
      </c>
      <c r="E80" s="49" t="n">
        <v>24</v>
      </c>
      <c r="F80" s="50" t="n">
        <v>0.0175</v>
      </c>
    </row>
    <row r="81">
      <c r="A81" s="41" t="n">
        <v>2015</v>
      </c>
      <c r="B81" s="42" t="n">
        <v>0.1873</v>
      </c>
      <c r="C81" s="43" t="n">
        <v>0.83</v>
      </c>
      <c r="E81" s="49" t="n">
        <v>25</v>
      </c>
      <c r="F81" s="50" t="n">
        <v>0.0152</v>
      </c>
    </row>
    <row r="82">
      <c r="A82" s="41" t="n">
        <v>2016</v>
      </c>
      <c r="B82" s="42" t="n">
        <v>0.2623</v>
      </c>
      <c r="C82" s="43" t="n">
        <v>0.82</v>
      </c>
      <c r="E82" s="49" t="n">
        <v>26</v>
      </c>
      <c r="F82" s="50" t="n">
        <v>0.0125</v>
      </c>
    </row>
    <row r="83">
      <c r="A83" s="41" t="n">
        <v>2017</v>
      </c>
      <c r="B83" s="42" t="n">
        <v>0.2028</v>
      </c>
      <c r="C83" s="43" t="n">
        <v>0.77</v>
      </c>
      <c r="E83" s="49" t="n">
        <v>27</v>
      </c>
      <c r="F83" s="50" t="n">
        <v>0.0098</v>
      </c>
    </row>
    <row r="84">
      <c r="A84" s="41" t="n">
        <v>2018</v>
      </c>
      <c r="B84" s="42" t="n">
        <v>0.226</v>
      </c>
      <c r="C84" s="43" t="n">
        <v>0.8</v>
      </c>
      <c r="E84" s="49" t="n">
        <v>28</v>
      </c>
      <c r="F84" s="50" t="n">
        <v>0.0068</v>
      </c>
    </row>
    <row r="85">
      <c r="A85" s="41" t="n">
        <v>2019</v>
      </c>
      <c r="B85" s="42" t="n">
        <v>0.3697</v>
      </c>
      <c r="C85" s="43" t="n">
        <v>0.92</v>
      </c>
      <c r="E85" s="49" t="n">
        <v>29</v>
      </c>
      <c r="F85" s="50" t="n">
        <v>0.0034</v>
      </c>
    </row>
    <row r="86">
      <c r="A86" s="41" t="n">
        <v>2020</v>
      </c>
      <c r="B86" s="42" t="n">
        <v>0.3612</v>
      </c>
      <c r="C86" s="43" t="n">
        <v>0.9399999999999999</v>
      </c>
      <c r="E86" s="49" t="n">
        <v>30</v>
      </c>
      <c r="F86" s="50" t="n">
        <v>0</v>
      </c>
    </row>
    <row r="87">
      <c r="A87" s="41" t="n">
        <v>2021</v>
      </c>
      <c r="B87" s="42" t="n">
        <v>0.2136</v>
      </c>
      <c r="C87" s="43" t="n">
        <v>0.84</v>
      </c>
    </row>
    <row r="88">
      <c r="A88" s="41" t="n">
        <v>2022</v>
      </c>
      <c r="B88" s="42" t="n">
        <v>0.3089</v>
      </c>
      <c r="C88" s="43" t="n">
        <v>0.92</v>
      </c>
    </row>
    <row r="89">
      <c r="A89" s="41" t="n">
        <v>2023</v>
      </c>
      <c r="B89" s="42" t="n">
        <v>0.532</v>
      </c>
      <c r="C89" s="43" t="n">
        <v>1.07</v>
      </c>
    </row>
    <row r="90">
      <c r="A90" s="41" t="n">
        <v>2024</v>
      </c>
      <c r="B90" s="42" t="n">
        <v>0.6753</v>
      </c>
      <c r="C90" s="43" t="n">
        <v>1.18</v>
      </c>
    </row>
    <row r="91">
      <c r="A91" s="41" t="n">
        <v>2025</v>
      </c>
      <c r="B91" s="42" t="n">
        <v>0.4751</v>
      </c>
      <c r="C91" s="43" t="n">
        <v>0.96</v>
      </c>
    </row>
  </sheetData>
  <mergeCells count="56">
    <mergeCell ref="E10:G10"/>
    <mergeCell ref="E13:G13"/>
    <mergeCell ref="M8:P8"/>
    <mergeCell ref="H54:L54"/>
    <mergeCell ref="E9:G9"/>
    <mergeCell ref="I12:K12"/>
    <mergeCell ref="A12:C12"/>
    <mergeCell ref="M14:P14"/>
    <mergeCell ref="E15:G15"/>
    <mergeCell ref="A1:Q1"/>
    <mergeCell ref="E6:G6"/>
    <mergeCell ref="A54:C54"/>
    <mergeCell ref="M4:P4"/>
    <mergeCell ref="E11:G11"/>
    <mergeCell ref="A5:C5"/>
    <mergeCell ref="I14:K14"/>
    <mergeCell ref="E3:H3"/>
    <mergeCell ref="A14:C14"/>
    <mergeCell ref="A8:C8"/>
    <mergeCell ref="I5:K5"/>
    <mergeCell ref="I8:K8"/>
    <mergeCell ref="I4:K4"/>
    <mergeCell ref="A4:C4"/>
    <mergeCell ref="E7:G7"/>
    <mergeCell ref="M9:P9"/>
    <mergeCell ref="A10:C10"/>
    <mergeCell ref="M5:P5"/>
    <mergeCell ref="A13:C13"/>
    <mergeCell ref="I10:K10"/>
    <mergeCell ref="I13:K13"/>
    <mergeCell ref="I9:K9"/>
    <mergeCell ref="A2:Q2"/>
    <mergeCell ref="A9:C9"/>
    <mergeCell ref="M11:P11"/>
    <mergeCell ref="E12:G12"/>
    <mergeCell ref="A15:C15"/>
    <mergeCell ref="M10:P10"/>
    <mergeCell ref="M3:Q3"/>
    <mergeCell ref="I15:K15"/>
    <mergeCell ref="I6:K6"/>
    <mergeCell ref="I11:K11"/>
    <mergeCell ref="A11:C11"/>
    <mergeCell ref="E14:G14"/>
    <mergeCell ref="I3:L3"/>
    <mergeCell ref="E5:G5"/>
    <mergeCell ref="M13:P13"/>
    <mergeCell ref="M7:P7"/>
    <mergeCell ref="A6:C6"/>
    <mergeCell ref="E8:G8"/>
    <mergeCell ref="A3:D3"/>
    <mergeCell ref="M6:P6"/>
    <mergeCell ref="E4:G4"/>
    <mergeCell ref="M12:P12"/>
    <mergeCell ref="M15:P15"/>
    <mergeCell ref="A7:C7"/>
    <mergeCell ref="I7:K7"/>
  </mergeCells>
  <conditionalFormatting sqref="B22:B51">
    <cfRule type="cellIs" priority="5" operator="greaterThanOrEqual" dxfId="1">
      <formula>$D$9</formula>
    </cfRule>
  </conditionalFormatting>
  <conditionalFormatting sqref="D12">
    <cfRule type="cellIs" priority="6" operator="equal" dxfId="4">
      <formula>"DRIFT"</formula>
    </cfRule>
  </conditionalFormatting>
  <conditionalFormatting sqref="E18:E51">
    <cfRule type="cellIs" priority="1" operator="greaterThan" dxfId="3">
      <formula>0.05</formula>
    </cfRule>
    <cfRule type="cellIs" priority="2" operator="lessThan" dxfId="2">
      <formula>-0.05</formula>
    </cfRule>
  </conditionalFormatting>
  <conditionalFormatting sqref="M18:M51">
    <cfRule type="cellIs" priority="3" operator="greaterThanOrEqual" dxfId="1">
      <formula>3</formula>
    </cfRule>
    <cfRule type="cellIs" priority="4" operator="lessThanOrEqual" dxfId="0">
      <formula>-3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2"/>
  <sheetViews>
    <sheetView topLeftCell="A13" zoomScale="150" zoomScaleNormal="113" workbookViewId="0">
      <selection activeCell="A38" sqref="A38:XFD38"/>
    </sheetView>
  </sheetViews>
  <sheetFormatPr baseColWidth="10" defaultColWidth="8" defaultRowHeight="15"/>
  <cols>
    <col width="6.33203125" bestFit="1" customWidth="1" style="158" min="1" max="1"/>
    <col width="9.83203125" bestFit="1" customWidth="1" style="158" min="2" max="2"/>
    <col width="11" customWidth="1" style="158" min="3" max="3"/>
    <col width="8.1640625" bestFit="1" customWidth="1" style="158" min="4" max="4"/>
    <col width="6.6640625" bestFit="1" customWidth="1" style="158" min="5" max="5"/>
    <col width="9" bestFit="1" customWidth="1" style="158" min="6" max="6"/>
    <col width="7" bestFit="1" customWidth="1" style="158" min="7" max="7"/>
    <col width="8.1640625" bestFit="1" customWidth="1" style="158" min="8" max="8"/>
    <col width="10" bestFit="1" customWidth="1" style="158" min="9" max="9"/>
    <col width="6.83203125" bestFit="1" customWidth="1" style="158" min="10" max="10"/>
    <col width="7.33203125" bestFit="1" customWidth="1" style="158" min="11" max="11"/>
    <col width="13.1640625" bestFit="1" customWidth="1" style="158" min="12" max="12"/>
    <col width="6" bestFit="1" customWidth="1" style="158" min="13" max="13"/>
    <col width="8" bestFit="1" customWidth="1" style="158" min="14" max="14"/>
    <col width="8.6640625" bestFit="1" customWidth="1" style="158" min="15" max="15"/>
    <col width="18.83203125" bestFit="1" customWidth="1" style="158" min="16" max="16"/>
    <col width="7.83203125" bestFit="1" customWidth="1" style="158" min="17" max="17"/>
    <col width="6.6640625" bestFit="1" customWidth="1" style="158" min="18" max="18"/>
    <col width="8" customWidth="1" style="158" min="19" max="22"/>
    <col width="8" customWidth="1" style="158" min="23" max="16384"/>
  </cols>
  <sheetData>
    <row r="1" ht="24" customHeight="1" s="170">
      <c r="A1" s="159" t="inlineStr">
        <is>
          <t>KXHMONTH-26JUL  —  “Will July 2026 be the hottest July ever?”</t>
        </is>
      </c>
    </row>
    <row r="2">
      <c r="A2" s="161" t="inlineStr">
        <is>
          <t>LIVE   ·   record 1.18, needs a 1.19 print   ·   ERA5 bar +0.69328/day   ·   fit 1990–2025, n=36   ·   settles Aug 8 2026 10:00 ET</t>
        </is>
      </c>
    </row>
    <row r="3">
      <c r="A3" s="160" t="inlineStr">
        <is>
          <t>CONTRACT &amp; TRANSLATION</t>
        </is>
      </c>
      <c r="E3" s="160" t="inlineStr">
        <is>
          <t>CURRENT STATE</t>
        </is>
      </c>
      <c r="I3" s="160" t="inlineStr">
        <is>
          <t>ENSEMBLE</t>
        </is>
      </c>
      <c r="M3" s="160" t="inlineStr">
        <is>
          <t>MARKET &amp; P&amp;L</t>
        </is>
      </c>
    </row>
    <row r="4">
      <c r="A4" s="153" t="inlineStr">
        <is>
          <t>Record (printed)</t>
        </is>
      </c>
      <c r="B4" s="154" t="n"/>
      <c r="C4" s="155" t="n"/>
      <c r="D4" s="1" t="n">
        <v>1.18</v>
      </c>
      <c r="E4" s="153" t="inlineStr">
        <is>
          <t>k  (days observed)</t>
        </is>
      </c>
      <c r="F4" s="154" t="n"/>
      <c r="G4" s="155" t="n"/>
      <c r="H4" s="2">
        <f>COUNT($B$22:$B$52)</f>
        <v/>
      </c>
      <c r="I4" s="153" t="inlineStr">
        <is>
          <t>Run</t>
        </is>
      </c>
      <c r="J4" s="154" t="n"/>
      <c r="K4" s="155" t="n"/>
      <c r="L4" s="3" t="inlineStr">
        <is>
          <t>2026-07-31</t>
        </is>
      </c>
      <c r="M4" s="153" t="inlineStr">
        <is>
          <t>Side held</t>
        </is>
      </c>
      <c r="N4" s="154" t="n"/>
      <c r="O4" s="154" t="n"/>
      <c r="P4" s="155" t="n"/>
      <c r="Q4" s="4" t="n"/>
    </row>
    <row r="5">
      <c r="A5" s="153" t="inlineStr">
        <is>
          <t>Latent threshold</t>
        </is>
      </c>
      <c r="B5" s="154" t="n"/>
      <c r="C5" s="155" t="n"/>
      <c r="D5" s="5" t="n">
        <v>1.185</v>
      </c>
      <c r="E5" s="153" t="inlineStr">
        <is>
          <t>MTD mean</t>
        </is>
      </c>
      <c r="F5" s="154" t="n"/>
      <c r="G5" s="155" t="n"/>
      <c r="H5" s="6">
        <f>IF($H$4=0,"",AVERAGE($B$22:$B$52))</f>
        <v/>
      </c>
      <c r="I5" s="153" t="inlineStr">
        <is>
          <t>Members</t>
        </is>
      </c>
      <c r="J5" s="154" t="n"/>
      <c r="K5" s="155" t="n"/>
      <c r="L5" s="2" t="n">
        <v>51</v>
      </c>
      <c r="M5" s="153" t="inlineStr">
        <is>
          <t>Contracts</t>
        </is>
      </c>
      <c r="N5" s="154" t="n"/>
      <c r="O5" s="154" t="n"/>
      <c r="P5" s="155" t="n"/>
      <c r="Q5" s="7" t="n"/>
    </row>
    <row r="6">
      <c r="A6" s="153" t="inlineStr">
        <is>
          <t>a  (intercept)</t>
        </is>
      </c>
      <c r="B6" s="154" t="n"/>
      <c r="C6" s="155" t="n"/>
      <c r="D6" s="8" t="n">
        <v>0.5686</v>
      </c>
      <c r="E6" s="153" t="inlineStr">
        <is>
          <t>Needed /day over rest</t>
        </is>
      </c>
      <c r="F6" s="154" t="n"/>
      <c r="G6" s="155" t="n"/>
      <c r="H6" s="6">
        <f>IF(OR($H$4=0,$H$4&gt;=31),"",($D$9*31-SUM($B$22:$B$52))/(31-$H$4))</f>
        <v/>
      </c>
      <c r="I6" s="153" t="inlineStr">
        <is>
          <t>Coldest member</t>
        </is>
      </c>
      <c r="J6" s="154" t="n"/>
      <c r="K6" s="155" t="n"/>
      <c r="L6" s="6" t="n">
        <v>0.663</v>
      </c>
      <c r="M6" s="153" t="inlineStr">
        <is>
          <t>Avg entry ¢</t>
        </is>
      </c>
      <c r="N6" s="154" t="n"/>
      <c r="O6" s="154" t="n"/>
      <c r="P6" s="155" t="n"/>
      <c r="Q6" s="9" t="n"/>
    </row>
    <row r="7">
      <c r="A7" s="153" t="inlineStr">
        <is>
          <t>b  (slope)</t>
        </is>
      </c>
      <c r="B7" s="154" t="n"/>
      <c r="C7" s="155" t="n"/>
      <c r="D7" s="8" t="n">
        <v>0.8891</v>
      </c>
      <c r="E7" s="153" t="inlineStr">
        <is>
          <t>Assumed rate, remaining days</t>
        </is>
      </c>
      <c r="F7" s="154" t="n"/>
      <c r="G7" s="155" t="n"/>
      <c r="H7" s="10" t="n">
        <v>0.5593</v>
      </c>
      <c r="I7" s="153" t="inlineStr">
        <is>
          <t>Average member</t>
        </is>
      </c>
      <c r="J7" s="154" t="n"/>
      <c r="K7" s="155" t="n"/>
      <c r="L7" s="6" t="n">
        <v>0.67</v>
      </c>
      <c r="M7" s="153" t="inlineStr">
        <is>
          <t>Cost $</t>
        </is>
      </c>
      <c r="N7" s="154" t="n"/>
      <c r="O7" s="154" t="n"/>
      <c r="P7" s="155" t="n"/>
      <c r="Q7" s="11">
        <f>IF($Q$5="","",$Q$5*$Q$6/100)</f>
        <v/>
      </c>
    </row>
    <row r="8">
      <c r="A8" s="153" t="inlineStr">
        <is>
          <t>σ translation</t>
        </is>
      </c>
      <c r="B8" s="154" t="n"/>
      <c r="C8" s="155" t="n"/>
      <c r="D8" s="8" t="n">
        <v>0.036</v>
      </c>
      <c r="E8" s="153" t="inlineStr">
        <is>
          <t>Projected full-month ERA5</t>
        </is>
      </c>
      <c r="F8" s="154" t="n"/>
      <c r="G8" s="155" t="n"/>
      <c r="H8" s="6">
        <f>(SUM($B$22:$B$52)+(31-$H$4)*$H$7)/31</f>
        <v/>
      </c>
      <c r="I8" s="153" t="inlineStr">
        <is>
          <t>Hottest member</t>
        </is>
      </c>
      <c r="J8" s="154" t="n"/>
      <c r="K8" s="155" t="n"/>
      <c r="L8" s="6" t="n">
        <v>0.6777</v>
      </c>
      <c r="M8" s="153" t="inlineStr">
        <is>
          <t>Fees paid $</t>
        </is>
      </c>
      <c r="N8" s="154" t="n"/>
      <c r="O8" s="154" t="n"/>
      <c r="P8" s="155" t="n"/>
      <c r="Q8" s="12" t="n"/>
    </row>
    <row r="9">
      <c r="A9" s="153" t="inlineStr">
        <is>
          <t>ERA5 bar (full month)</t>
        </is>
      </c>
      <c r="B9" s="154" t="n"/>
      <c r="C9" s="155" t="n"/>
      <c r="D9" s="13">
        <f>($D$5-$D$6)/$D$7</f>
        <v/>
      </c>
      <c r="E9" s="153" t="inlineStr">
        <is>
          <t>Projected NOAA μ</t>
        </is>
      </c>
      <c r="F9" s="154" t="n"/>
      <c r="G9" s="155" t="n"/>
      <c r="H9" s="5">
        <f>$D$6+$D$7*$H$8</f>
        <v/>
      </c>
      <c r="I9" s="153" t="inlineStr">
        <is>
          <t>Members breaching record</t>
        </is>
      </c>
      <c r="J9" s="154" t="n"/>
      <c r="K9" s="155" t="n"/>
      <c r="L9" s="3" t="inlineStr">
        <is>
          <t>0/51</t>
        </is>
      </c>
      <c r="M9" s="153" t="inlineStr">
        <is>
          <t>Settled</t>
        </is>
      </c>
      <c r="N9" s="154" t="n"/>
      <c r="O9" s="154" t="n"/>
      <c r="P9" s="155" t="n"/>
      <c r="Q9" s="4" t="n"/>
    </row>
    <row r="10">
      <c r="A10" s="153" t="inlineStr">
        <is>
          <t>σ_f  at k</t>
        </is>
      </c>
      <c r="B10" s="154" t="n"/>
      <c r="C10" s="155" t="n"/>
      <c r="D10" s="8">
        <f>IFERROR(INDEX($F$57:$F$88,MATCH($H$4,$E$57:$E$88,0)),$D$8)</f>
        <v/>
      </c>
      <c r="E10" s="153" t="inlineStr">
        <is>
          <t>P(YES) — sheet</t>
        </is>
      </c>
      <c r="F10" s="154" t="n"/>
      <c r="G10" s="155" t="n"/>
      <c r="H10" s="14">
        <f>1-NORMDIST($D$5,$H$9,$D$11,TRUE)</f>
        <v/>
      </c>
      <c r="I10" s="153" t="inlineStr">
        <is>
          <t>Ensemble P(YES)</t>
        </is>
      </c>
      <c r="J10" s="154" t="n"/>
      <c r="K10" s="155" t="n"/>
      <c r="L10" s="15" t="n">
        <v>0.283</v>
      </c>
      <c r="M10" s="153" t="inlineStr">
        <is>
          <t>Payout $</t>
        </is>
      </c>
      <c r="N10" s="154" t="n"/>
      <c r="O10" s="154" t="n"/>
      <c r="P10" s="155" t="n"/>
      <c r="Q10" s="11">
        <f>IF(OR($Q$9="",$Q$4=""),"",IF(UPPER($Q$9)=UPPER($Q$4),$Q$5,0))</f>
        <v/>
      </c>
    </row>
    <row r="11">
      <c r="A11" s="153" t="inlineStr">
        <is>
          <t>σ total</t>
        </is>
      </c>
      <c r="B11" s="154" t="n"/>
      <c r="C11" s="155" t="n"/>
      <c r="D11" s="8">
        <f>SQRT(($D$7*$D$10)^2+$D$8^2)</f>
        <v/>
      </c>
      <c r="E11" s="153" t="inlineStr">
        <is>
          <t>P(YES) — pipeline</t>
        </is>
      </c>
      <c r="F11" s="154" t="n"/>
      <c r="G11" s="155" t="n"/>
      <c r="H11" s="15" t="n"/>
      <c r="I11" s="153" t="inlineStr">
        <is>
          <t>dev3 (latest)</t>
        </is>
      </c>
      <c r="J11" s="154" t="n"/>
      <c r="K11" s="155" t="n"/>
      <c r="L11" s="6">
        <f>IFERROR(LOOKUP(9.99E+307,$E$18:$E$52),"")</f>
        <v/>
      </c>
      <c r="M11" s="156" t="inlineStr">
        <is>
          <t>Realised P&amp;L $</t>
        </is>
      </c>
      <c r="N11" s="154" t="n"/>
      <c r="O11" s="154" t="n"/>
      <c r="P11" s="155" t="n"/>
      <c r="Q11" s="11">
        <f>IF($Q$10="","",$Q$10-$Q$7-IF($Q$8="",0,$Q$8))</f>
        <v/>
      </c>
    </row>
    <row r="12">
      <c r="A12" s="153" t="inlineStr">
        <is>
          <t>Fit check</t>
        </is>
      </c>
      <c r="B12" s="154" t="n"/>
      <c r="C12" s="155" t="n"/>
      <c r="D12" s="3">
        <f>IF(AND(ABS(SLOPE($C$57:$C$92,$B$57:$B$92)-$D$7)&lt;0.0005,ABS(INTERCEPT($C$57:$C$92,$B$57:$B$92)-$D$6)&lt;0.0005,ABS(STEYX($C$57:$C$92,$B$57:$B$92)-$D$8)&lt;0.0005),"OK","DRIFT")</f>
        <v/>
      </c>
      <c r="E12" s="156" t="inlineStr">
        <is>
          <t>P(YES) used</t>
        </is>
      </c>
      <c r="F12" s="154" t="n"/>
      <c r="G12" s="155" t="n"/>
      <c r="H12" s="14">
        <f>IF($H$11="",$H$10,$H$11)</f>
        <v/>
      </c>
      <c r="I12" s="153" t="inlineStr">
        <is>
          <t>Spike signal</t>
        </is>
      </c>
      <c r="J12" s="154" t="n"/>
      <c r="K12" s="155" t="n"/>
      <c r="L12" s="3">
        <f>IF($L$11="","",IF($L$11&gt;0.05,"WARM · YES↑",IF($L$11&lt;-0.05,"COLD · YES↓","quiet")))</f>
        <v/>
      </c>
      <c r="M12" s="156" t="inlineStr">
        <is>
          <t>ROI %</t>
        </is>
      </c>
      <c r="N12" s="154" t="n"/>
      <c r="O12" s="154" t="n"/>
      <c r="P12" s="155" t="n"/>
      <c r="Q12" s="14">
        <f>IF(OR($Q$11="",$Q$7=""),"",$Q$11/$Q$7)</f>
        <v/>
      </c>
    </row>
    <row r="13">
      <c r="A13" s="153" t="inlineStr">
        <is>
          <t>GISTEMP record</t>
        </is>
      </c>
      <c r="B13" s="154" t="n"/>
      <c r="C13" s="155" t="n"/>
      <c r="D13" s="1" t="n">
        <v>1.2</v>
      </c>
      <c r="E13" s="156" t="inlineStr">
        <is>
          <t>Fair NO ¢</t>
        </is>
      </c>
      <c r="F13" s="154" t="n"/>
      <c r="G13" s="155" t="n"/>
      <c r="H13" s="16">
        <f>100*(1-$H$12)</f>
        <v/>
      </c>
      <c r="I13" s="153" t="inlineStr">
        <is>
          <t>Bias — 2026 mean residual</t>
        </is>
      </c>
      <c r="J13" s="154" t="n"/>
      <c r="K13" s="155" t="n"/>
      <c r="L13" s="17" t="n">
        <v>0.0224</v>
      </c>
      <c r="M13" s="153" t="inlineStr">
        <is>
          <t>Risk cap $ / market</t>
        </is>
      </c>
      <c r="N13" s="154" t="n"/>
      <c r="O13" s="154" t="n"/>
      <c r="P13" s="155" t="n"/>
      <c r="Q13" s="18" t="n">
        <v>300</v>
      </c>
    </row>
    <row r="14">
      <c r="A14" s="153" t="inlineStr">
        <is>
          <t>GISTEMP threshold</t>
        </is>
      </c>
      <c r="B14" s="154" t="n"/>
      <c r="C14" s="155" t="n"/>
      <c r="D14" s="5" t="n">
        <v>1.205</v>
      </c>
      <c r="E14" s="156" t="inlineStr">
        <is>
          <t>Edge on NO ¢</t>
        </is>
      </c>
      <c r="F14" s="154" t="n"/>
      <c r="G14" s="155" t="n"/>
      <c r="H14" s="16">
        <f>IF(COUNT($L$18:$L$52)=0,"",LOOKUP(9.99E+307,$L$18:$L$52)-100*$H$12)</f>
        <v/>
      </c>
      <c r="I14" s="153" t="inlineStr">
        <is>
          <t>Apply bias to μ?</t>
        </is>
      </c>
      <c r="J14" s="154" t="n"/>
      <c r="K14" s="155" t="n"/>
      <c r="L14" s="19" t="inlineStr">
        <is>
          <t>N</t>
        </is>
      </c>
      <c r="M14" s="153" t="inlineStr">
        <is>
          <t>Book depth at touch $</t>
        </is>
      </c>
      <c r="N14" s="154" t="n"/>
      <c r="O14" s="154" t="n"/>
      <c r="P14" s="155" t="n"/>
      <c r="Q14" s="12" t="n"/>
    </row>
    <row r="15">
      <c r="A15" s="153" t="inlineStr">
        <is>
          <t>ONI (CPC)</t>
        </is>
      </c>
      <c r="B15" s="154" t="n"/>
      <c r="C15" s="155" t="n"/>
      <c r="D15" s="9" t="n">
        <v>1</v>
      </c>
      <c r="E15" s="156" t="inlineStr">
        <is>
          <t>Verdict</t>
        </is>
      </c>
      <c r="F15" s="154" t="n"/>
      <c r="G15" s="155" t="n"/>
      <c r="H15" s="3">
        <f>IF($H$14="","",IF($H$14&gt;=3,"NO CHEAP",IF($H$14&lt;=-3,"NO RICH","FAIR")))</f>
        <v/>
      </c>
      <c r="I15" s="153" t="inlineStr">
        <is>
          <t>μ with bias</t>
        </is>
      </c>
      <c r="J15" s="154" t="n"/>
      <c r="K15" s="155" t="n"/>
      <c r="L15" s="5">
        <f>IF(UPPER($L$14)="Y",$H$9+$L$13,$H$9)</f>
        <v/>
      </c>
      <c r="M15" s="153" t="inlineStr">
        <is>
          <t>Exposure vs cap</t>
        </is>
      </c>
      <c r="N15" s="154" t="n"/>
      <c r="O15" s="154" t="n"/>
      <c r="P15" s="155" t="n"/>
      <c r="Q15" s="14">
        <f>IF($Q$7="","",$Q$7/$Q$13)</f>
        <v/>
      </c>
    </row>
    <row r="17">
      <c r="A17" s="62" t="inlineStr">
        <is>
          <t>Date</t>
        </is>
      </c>
      <c r="B17" s="64" t="inlineStr">
        <is>
          <t>Actual °C</t>
        </is>
      </c>
      <c r="C17" s="65" t="inlineStr">
        <is>
          <t>Expectation</t>
        </is>
      </c>
      <c r="D17" s="20" t="inlineStr">
        <is>
          <t>Dev</t>
        </is>
      </c>
      <c r="E17" s="20" t="inlineStr">
        <is>
          <t>Dev3</t>
        </is>
      </c>
      <c r="F17" s="20" t="inlineStr">
        <is>
          <t>MTD mean</t>
        </is>
      </c>
      <c r="G17" s="20" t="inlineStr">
        <is>
          <t>2024</t>
        </is>
      </c>
      <c r="H17" s="20" t="inlineStr">
        <is>
          <t>2023</t>
        </is>
      </c>
      <c r="I17" s="20" t="inlineStr">
        <is>
          <t>Needed</t>
        </is>
      </c>
      <c r="J17" s="20" t="inlineStr">
        <is>
          <t>P(YES)</t>
        </is>
      </c>
      <c r="K17" s="20" t="inlineStr">
        <is>
          <t>Fair NO</t>
        </is>
      </c>
      <c r="L17" s="20" t="inlineStr">
        <is>
          <t>Mkt YES</t>
        </is>
      </c>
      <c r="M17" s="20" t="inlineStr">
        <is>
          <t>Edge</t>
        </is>
      </c>
      <c r="N17" s="20" t="inlineStr">
        <is>
          <t>Volume</t>
        </is>
      </c>
      <c r="O17" s="20" t="inlineStr">
        <is>
          <t>Open int</t>
        </is>
      </c>
      <c r="P17" s="20" t="inlineStr">
        <is>
          <t>Signal</t>
        </is>
      </c>
      <c r="Q17" s="20" t="inlineStr">
        <is>
          <t>Note</t>
        </is>
      </c>
      <c r="R17" s="85" t="inlineStr">
        <is>
          <t>Pace</t>
        </is>
      </c>
      <c r="S17" s="85" t="inlineStr">
        <is>
          <t>Model ¢</t>
        </is>
      </c>
    </row>
    <row r="18">
      <c r="A18" s="21" t="inlineStr">
        <is>
          <t>Jun 27</t>
        </is>
      </c>
      <c r="B18" s="61" t="n">
        <v>0.609</v>
      </c>
      <c r="C18" s="22" t="n"/>
      <c r="D18" s="23">
        <f>IF(OR($B18="",$C18=""),"",$B18-$C18)</f>
        <v/>
      </c>
      <c r="E18" s="23">
        <f>IF(COUNT($D17:$D18)&lt;3,"",AVERAGE($D17:$D18))</f>
        <v/>
      </c>
      <c r="F18" s="23" t="n"/>
      <c r="G18" s="23" t="n">
        <v>0.624</v>
      </c>
      <c r="H18" s="23" t="n">
        <v>0.5600000000000001</v>
      </c>
      <c r="I18" s="23" t="n"/>
      <c r="J18" s="24" t="n"/>
      <c r="K18" s="25">
        <f>IF($J18="","",100*(1-$J18))</f>
        <v/>
      </c>
      <c r="L18" s="26" t="n"/>
      <c r="M18" s="25">
        <f>IF(OR($J18="",$L18=""),"",$L18-100*$J18)</f>
        <v/>
      </c>
      <c r="N18" s="27" t="n"/>
      <c r="O18" s="27" t="n"/>
      <c r="P18" s="28">
        <f>IF($E18="","",IF($E18&gt;0.05,"WARM dev3 — spike risk UP",IF($E18&lt;-0.05,"COLD dev3 — spike risk DOWN","")))</f>
        <v/>
      </c>
      <c r="Q18" s="29" t="n"/>
      <c r="R18" s="103" t="n"/>
      <c r="S18" s="99">
        <f>IF($J18="","",$J18*100)</f>
        <v/>
      </c>
    </row>
    <row r="19">
      <c r="A19" s="21" t="inlineStr">
        <is>
          <t>Jun 28</t>
        </is>
      </c>
      <c r="B19" s="22" t="n">
        <v>0.653</v>
      </c>
      <c r="C19" s="22" t="n"/>
      <c r="D19" s="23">
        <f>IF(OR($B19="",$C19=""),"",$B19-$C19)</f>
        <v/>
      </c>
      <c r="E19" s="23">
        <f>IF(COUNT($D17:$D19)&lt;3,"",AVERAGE($D17:$D19))</f>
        <v/>
      </c>
      <c r="F19" s="23" t="n"/>
      <c r="G19" s="23" t="n">
        <v>0.616</v>
      </c>
      <c r="H19" s="23" t="n">
        <v>0.51</v>
      </c>
      <c r="I19" s="23" t="n"/>
      <c r="J19" s="24" t="n"/>
      <c r="K19" s="25">
        <f>IF($J19="","",100*(1-$J19))</f>
        <v/>
      </c>
      <c r="L19" s="26" t="n">
        <v>7</v>
      </c>
      <c r="M19" s="25">
        <f>IF(OR($J19="",$L19=""),"",$L19-100*$J19)</f>
        <v/>
      </c>
      <c r="N19" s="27" t="n">
        <v>719.14</v>
      </c>
      <c r="O19" s="27" t="n">
        <v>698.12</v>
      </c>
      <c r="P19" s="28">
        <f>IF($E19="","",IF($E19&gt;0.05,"WARM dev3 — spike risk UP",IF($E19&lt;-0.05,"COLD dev3 — spike risk DOWN","")))</f>
        <v/>
      </c>
      <c r="Q19" s="29" t="n"/>
      <c r="R19" s="103" t="n"/>
      <c r="S19" s="99">
        <f>IF($J19="","",$J19*100)</f>
        <v/>
      </c>
    </row>
    <row r="20">
      <c r="A20" s="21" t="inlineStr">
        <is>
          <t>Jun 29</t>
        </is>
      </c>
      <c r="B20" s="22" t="n">
        <v>0.64</v>
      </c>
      <c r="C20" s="22" t="n"/>
      <c r="D20" s="23">
        <f>IF(OR($B20="",$C20=""),"",$B20-$C20)</f>
        <v/>
      </c>
      <c r="E20" s="23">
        <f>IF(COUNT($D18:$D20)&lt;3,"",AVERAGE($D18:$D20))</f>
        <v/>
      </c>
      <c r="F20" s="23" t="n"/>
      <c r="G20" s="23" t="n">
        <v>0.614</v>
      </c>
      <c r="H20" s="23" t="n">
        <v>0.491</v>
      </c>
      <c r="I20" s="23" t="n"/>
      <c r="J20" s="24" t="n"/>
      <c r="K20" s="25">
        <f>IF($J20="","",100*(1-$J20))</f>
        <v/>
      </c>
      <c r="L20" s="26" t="n">
        <v>25</v>
      </c>
      <c r="M20" s="25">
        <f>IF(OR($J20="",$L20=""),"",$L20-100*$J20)</f>
        <v/>
      </c>
      <c r="N20" s="27" t="n">
        <v>275.38</v>
      </c>
      <c r="O20" s="27" t="n">
        <v>973.5</v>
      </c>
      <c r="P20" s="28">
        <f>IF($E20="","",IF($E20&gt;0.05,"WARM dev3 — spike risk UP",IF($E20&lt;-0.05,"COLD dev3 — spike risk DOWN","")))</f>
        <v/>
      </c>
      <c r="Q20" s="29" t="n"/>
      <c r="R20" s="103" t="n"/>
      <c r="S20" s="99">
        <f>IF($J20="","",$J20*100)</f>
        <v/>
      </c>
    </row>
    <row r="21">
      <c r="A21" s="21" t="inlineStr">
        <is>
          <t>Jun 30</t>
        </is>
      </c>
      <c r="B21" s="22" t="n">
        <v>0.635</v>
      </c>
      <c r="C21" s="22" t="n"/>
      <c r="D21" s="23">
        <f>IF(OR($B21="",$C21=""),"",$B21-$C21)</f>
        <v/>
      </c>
      <c r="E21" s="23">
        <f>IF(COUNT($D19:$D21)&lt;3,"",AVERAGE($D19:$D21))</f>
        <v/>
      </c>
      <c r="F21" s="23" t="n"/>
      <c r="G21" s="23" t="n">
        <v>0.593</v>
      </c>
      <c r="H21" s="23" t="n">
        <v>0.413</v>
      </c>
      <c r="I21" s="23" t="n"/>
      <c r="J21" s="24" t="n"/>
      <c r="K21" s="25">
        <f>IF($J21="","",100*(1-$J21))</f>
        <v/>
      </c>
      <c r="L21" s="26" t="n">
        <v>24</v>
      </c>
      <c r="M21" s="25">
        <f>IF(OR($J21="",$L21=""),"",$L21-100*$J21)</f>
        <v/>
      </c>
      <c r="N21" s="27" t="n">
        <v>380.03</v>
      </c>
      <c r="O21" s="27" t="n">
        <v>1103.53</v>
      </c>
      <c r="P21" s="28">
        <f>IF($E21="","",IF($E21&gt;0.05,"WARM dev3 — spike risk UP",IF($E21&lt;-0.05,"COLD dev3 — spike risk DOWN","")))</f>
        <v/>
      </c>
      <c r="Q21" s="29" t="n"/>
      <c r="R21" s="103" t="n"/>
      <c r="S21" s="99">
        <f>IF($J21="","",$J21*100)</f>
        <v/>
      </c>
    </row>
    <row r="22">
      <c r="A22" s="30" t="inlineStr">
        <is>
          <t>Jul 01</t>
        </is>
      </c>
      <c r="B22" s="31" t="n">
        <v>0.617</v>
      </c>
      <c r="C22" s="31" t="n"/>
      <c r="D22" s="32">
        <f>IF(OR($B22="",$C22=""),"",$B22-$C22)</f>
        <v/>
      </c>
      <c r="E22" s="32">
        <f>IF(COUNT($D20:$D22)&lt;3,"",AVERAGE($D20:$D22))</f>
        <v/>
      </c>
      <c r="F22" s="32">
        <f>IF($B22="","",AVERAGE($B$22:$B22))</f>
        <v/>
      </c>
      <c r="G22" s="32" t="n">
        <v>0.582</v>
      </c>
      <c r="H22" s="32" t="n">
        <v>0.399</v>
      </c>
      <c r="I22" s="32">
        <f>IF(OR($B22="",1&gt;=31),"",($D$9*31-SUM($B$22:$B22))/(31-1))</f>
        <v/>
      </c>
      <c r="J22" s="33">
        <f>IF($B22="","",1-NORMDIST($D$5,$D$6+$D$7*((SUM($B$22:$B22)+(31-1)*$H$7)/31),$D$11,TRUE))</f>
        <v/>
      </c>
      <c r="K22" s="34">
        <f>IF($J22="","",100*(1-$J22))</f>
        <v/>
      </c>
      <c r="L22" s="35" t="n">
        <v>14</v>
      </c>
      <c r="M22" s="34">
        <f>IF(OR($J22="",$L22=""),"",$L22-100*$J22)</f>
        <v/>
      </c>
      <c r="N22" s="36" t="n">
        <v>61.64</v>
      </c>
      <c r="O22" s="36" t="n">
        <v>1143.37</v>
      </c>
      <c r="P22" s="37">
        <f>IF($E22="","",IF($E22&gt;0.05,"WARM dev3 — spike risk UP",IF($E22&lt;-0.05,"COLD dev3 — spike risk DOWN","")))</f>
        <v/>
      </c>
      <c r="Q22" s="38" t="n"/>
      <c r="R22" s="97">
        <f>$D$9</f>
        <v/>
      </c>
      <c r="S22" s="99">
        <f>IF($J22="","",$J22*100)</f>
        <v/>
      </c>
    </row>
    <row r="23">
      <c r="A23" s="30" t="inlineStr">
        <is>
          <t>Jul 02</t>
        </is>
      </c>
      <c r="B23" s="31" t="n">
        <v>0.623</v>
      </c>
      <c r="C23" s="31" t="n"/>
      <c r="D23" s="32">
        <f>IF(OR($B23="",$C23=""),"",$B23-$C23)</f>
        <v/>
      </c>
      <c r="E23" s="32">
        <f>IF(COUNT($D21:$D23)&lt;3,"",AVERAGE($D21:$D23))</f>
        <v/>
      </c>
      <c r="F23" s="32">
        <f>IF($B23="","",AVERAGE($B$22:$B23))</f>
        <v/>
      </c>
      <c r="G23" s="32" t="n">
        <v>0.5620000000000001</v>
      </c>
      <c r="H23" s="32" t="n">
        <v>0.452</v>
      </c>
      <c r="I23" s="32">
        <f>IF(OR($B23="",2&gt;=31),"",($D$9*31-SUM($B$22:$B23))/(31-2))</f>
        <v/>
      </c>
      <c r="J23" s="33">
        <f>IF($B23="","",1-NORMDIST($D$5,$D$6+$D$7*((SUM($B$22:$B23)+(31-2)*$H$7)/31),$D$11,TRUE))</f>
        <v/>
      </c>
      <c r="K23" s="34">
        <f>IF($J23="","",100*(1-$J23))</f>
        <v/>
      </c>
      <c r="L23" s="35" t="n">
        <v>18</v>
      </c>
      <c r="M23" s="34">
        <f>IF(OR($J23="",$L23=""),"",$L23-100*$J23)</f>
        <v/>
      </c>
      <c r="N23" s="36" t="n">
        <v>211.67</v>
      </c>
      <c r="O23" s="36" t="n">
        <v>1343.4</v>
      </c>
      <c r="P23" s="37">
        <f>IF($E23="","",IF($E23&gt;0.05,"WARM dev3 — spike risk UP",IF($E23&lt;-0.05,"COLD dev3 — spike risk DOWN","")))</f>
        <v/>
      </c>
      <c r="Q23" s="38" t="n"/>
      <c r="R23" s="97">
        <f>$D$9</f>
        <v/>
      </c>
      <c r="S23" s="99">
        <f>IF($J23="","",$J23*100)</f>
        <v/>
      </c>
    </row>
    <row r="24">
      <c r="A24" s="30" t="inlineStr">
        <is>
          <t>Jul 03</t>
        </is>
      </c>
      <c r="B24" s="31" t="n">
        <v>0.612</v>
      </c>
      <c r="C24" s="31" t="n"/>
      <c r="D24" s="32">
        <f>IF(OR($B24="",$C24=""),"",$B24-$C24)</f>
        <v/>
      </c>
      <c r="E24" s="32">
        <f>IF(COUNT($D22:$D24)&lt;3,"",AVERAGE($D22:$D24))</f>
        <v/>
      </c>
      <c r="F24" s="32">
        <f>IF($B24="","",AVERAGE($B$22:$B24))</f>
        <v/>
      </c>
      <c r="G24" s="32" t="n">
        <v>0.5649999999999999</v>
      </c>
      <c r="H24" s="32" t="n">
        <v>0.536</v>
      </c>
      <c r="I24" s="32">
        <f>IF(OR($B24="",3&gt;=31),"",($D$9*31-SUM($B$22:$B24))/(31-3))</f>
        <v/>
      </c>
      <c r="J24" s="33">
        <f>IF($B24="","",1-NORMDIST($D$5,$D$6+$D$7*((SUM($B$22:$B24)+(31-3)*$H$7)/31),$D$11,TRUE))</f>
        <v/>
      </c>
      <c r="K24" s="34">
        <f>IF($J24="","",100*(1-$J24))</f>
        <v/>
      </c>
      <c r="L24" s="35" t="n">
        <v>18</v>
      </c>
      <c r="M24" s="34">
        <f>IF(OR($J24="",$L24=""),"",$L24-100*$J24)</f>
        <v/>
      </c>
      <c r="N24" s="36" t="n">
        <v>390.12</v>
      </c>
      <c r="O24" s="36" t="n">
        <v>1733.52</v>
      </c>
      <c r="P24" s="37">
        <f>IF($E24="","",IF($E24&gt;0.05,"WARM dev3 — spike risk UP",IF($E24&lt;-0.05,"COLD dev3 — spike risk DOWN","")))</f>
        <v/>
      </c>
      <c r="Q24" s="38" t="n"/>
      <c r="R24" s="97">
        <f>$D$9</f>
        <v/>
      </c>
      <c r="S24" s="99">
        <f>IF($J24="","",$J24*100)</f>
        <v/>
      </c>
    </row>
    <row r="25">
      <c r="A25" s="30" t="inlineStr">
        <is>
          <t>Jul 04</t>
        </is>
      </c>
      <c r="B25" s="31" t="n">
        <v>0.644</v>
      </c>
      <c r="C25" s="31" t="n"/>
      <c r="D25" s="32">
        <f>IF(OR($B25="",$C25=""),"",$B25-$C25)</f>
        <v/>
      </c>
      <c r="E25" s="32">
        <f>IF(COUNT($D23:$D25)&lt;3,"",AVERAGE($D23:$D25))</f>
        <v/>
      </c>
      <c r="F25" s="32">
        <f>IF($B25="","",AVERAGE($B$22:$B25))</f>
        <v/>
      </c>
      <c r="G25" s="32" t="n">
        <v>0.5655</v>
      </c>
      <c r="H25" s="32" t="n">
        <v>0.6158</v>
      </c>
      <c r="I25" s="32">
        <f>IF(OR($B25="",4&gt;=31),"",($D$9*31-SUM($B$22:$B25))/(31-4))</f>
        <v/>
      </c>
      <c r="J25" s="33">
        <f>IF($B25="","",1-NORMDIST($D$5,$D$6+$D$7*((SUM($B$22:$B25)+(31-4)*$H$7)/31),$D$11,TRUE))</f>
        <v/>
      </c>
      <c r="K25" s="34">
        <f>IF($J25="","",100*(1-$J25))</f>
        <v/>
      </c>
      <c r="L25" s="35" t="n">
        <v>21</v>
      </c>
      <c r="M25" s="34">
        <f>IF(OR($J25="",$L25=""),"",$L25-100*$J25)</f>
        <v/>
      </c>
      <c r="N25" s="36" t="n">
        <v>157.92</v>
      </c>
      <c r="O25" s="36" t="n">
        <v>1685.1</v>
      </c>
      <c r="P25" s="37">
        <f>IF($E25="","",IF($E25&gt;0.05,"WARM dev3 — spike risk UP",IF($E25&lt;-0.05,"COLD dev3 — spike risk DOWN","")))</f>
        <v/>
      </c>
      <c r="Q25" s="38" t="n"/>
      <c r="R25" s="97">
        <f>$D$9</f>
        <v/>
      </c>
      <c r="S25" s="99">
        <f>IF($J25="","",$J25*100)</f>
        <v/>
      </c>
    </row>
    <row r="26">
      <c r="A26" s="30" t="inlineStr">
        <is>
          <t>Jul 05</t>
        </is>
      </c>
      <c r="B26" s="31" t="n">
        <v>0.699</v>
      </c>
      <c r="C26" s="31" t="n"/>
      <c r="D26" s="32">
        <f>IF(OR($B26="",$C26=""),"",$B26-$C26)</f>
        <v/>
      </c>
      <c r="E26" s="32">
        <f>IF(COUNT($D24:$D26)&lt;3,"",AVERAGE($D24:$D26))</f>
        <v/>
      </c>
      <c r="F26" s="32">
        <f>IF($B26="","",AVERAGE($B$22:$B26))</f>
        <v/>
      </c>
      <c r="G26" s="32" t="n">
        <v>0.5629999999999999</v>
      </c>
      <c r="H26" s="32" t="n">
        <v>0.6657999999999999</v>
      </c>
      <c r="I26" s="32">
        <f>IF(OR($B26="",5&gt;=31),"",($D$9*31-SUM($B$22:$B26))/(31-5))</f>
        <v/>
      </c>
      <c r="J26" s="33">
        <f>IF($B26="","",1-NORMDIST($D$5,$D$6+$D$7*((SUM($B$22:$B26)+(31-5)*$H$7)/31),$D$11,TRUE))</f>
        <v/>
      </c>
      <c r="K26" s="34">
        <f>IF($J26="","",100*(1-$J26))</f>
        <v/>
      </c>
      <c r="L26" s="35" t="n">
        <v>19</v>
      </c>
      <c r="M26" s="34">
        <f>IF(OR($J26="",$L26=""),"",$L26-100*$J26)</f>
        <v/>
      </c>
      <c r="N26" s="36" t="n">
        <v>10</v>
      </c>
      <c r="O26" s="36" t="n">
        <v>1695.1</v>
      </c>
      <c r="P26" s="37">
        <f>IF($E26="","",IF($E26&gt;0.05,"WARM dev3 — spike risk UP",IF($E26&lt;-0.05,"COLD dev3 — spike risk DOWN","")))</f>
        <v/>
      </c>
      <c r="Q26" s="38" t="n"/>
      <c r="R26" s="97">
        <f>$D$9</f>
        <v/>
      </c>
      <c r="S26" s="99">
        <f>IF($J26="","",$J26*100)</f>
        <v/>
      </c>
    </row>
    <row r="27">
      <c r="A27" s="30" t="inlineStr">
        <is>
          <t>Jul 06</t>
        </is>
      </c>
      <c r="B27" s="31" t="n">
        <v>0.697</v>
      </c>
      <c r="C27" s="31" t="n"/>
      <c r="D27" s="32">
        <f>IF(OR($B27="",$C27=""),"",$B27-$C27)</f>
        <v/>
      </c>
      <c r="E27" s="32">
        <f>IF(COUNT($D25:$D27)&lt;3,"",AVERAGE($D25:$D27))</f>
        <v/>
      </c>
      <c r="F27" s="32">
        <f>IF($B27="","",AVERAGE($B$22:$B27))</f>
        <v/>
      </c>
      <c r="G27" s="32" t="n">
        <v>0.5538</v>
      </c>
      <c r="H27" s="32" t="n">
        <v>0.7023</v>
      </c>
      <c r="I27" s="32">
        <f>IF(OR($B27="",6&gt;=31),"",($D$9*31-SUM($B$22:$B27))/(31-6))</f>
        <v/>
      </c>
      <c r="J27" s="33">
        <f>IF($B27="","",1-NORMDIST($D$5,$D$6+$D$7*((SUM($B$22:$B27)+(31-6)*$H$7)/31),$D$11,TRUE))</f>
        <v/>
      </c>
      <c r="K27" s="34">
        <f>IF($J27="","",100*(1-$J27))</f>
        <v/>
      </c>
      <c r="L27" s="35" t="n">
        <v>21</v>
      </c>
      <c r="M27" s="34">
        <f>IF(OR($J27="",$L27=""),"",$L27-100*$J27)</f>
        <v/>
      </c>
      <c r="N27" s="36" t="n">
        <v>36.79</v>
      </c>
      <c r="O27" s="36" t="n">
        <v>1731.89</v>
      </c>
      <c r="P27" s="37">
        <f>IF($E27="","",IF($E27&gt;0.05,"WARM dev3 — spike risk UP",IF($E27&lt;-0.05,"COLD dev3 — spike risk DOWN","")))</f>
        <v/>
      </c>
      <c r="Q27" s="38" t="n"/>
      <c r="R27" s="97">
        <f>$D$9</f>
        <v/>
      </c>
      <c r="S27" s="99">
        <f>IF($J27="","",$J27*100)</f>
        <v/>
      </c>
    </row>
    <row r="28">
      <c r="A28" s="30" t="inlineStr">
        <is>
          <t>Jul 07</t>
        </is>
      </c>
      <c r="B28" s="31" t="n">
        <v>0.68</v>
      </c>
      <c r="C28" s="31" t="n"/>
      <c r="D28" s="32">
        <f>IF(OR($B28="",$C28=""),"",$B28-$C28)</f>
        <v/>
      </c>
      <c r="E28" s="32">
        <f>IF(COUNT($D26:$D28)&lt;3,"",AVERAGE($D26:$D28))</f>
        <v/>
      </c>
      <c r="F28" s="32">
        <f>IF($B28="","",AVERAGE($B$22:$B28))</f>
        <v/>
      </c>
      <c r="G28" s="32" t="n">
        <v>0.5494</v>
      </c>
      <c r="H28" s="32" t="n">
        <v>0.7259</v>
      </c>
      <c r="I28" s="32">
        <f>IF(OR($B28="",7&gt;=31),"",($D$9*31-SUM($B$22:$B28))/(31-7))</f>
        <v/>
      </c>
      <c r="J28" s="33">
        <f>IF($B28="","",1-NORMDIST($D$5,$D$6+$D$7*((SUM($B$22:$B28)+(31-7)*$H$7)/31),$D$11,TRUE))</f>
        <v/>
      </c>
      <c r="K28" s="34">
        <f>IF($J28="","",100*(1-$J28))</f>
        <v/>
      </c>
      <c r="L28" s="35" t="n">
        <v>16</v>
      </c>
      <c r="M28" s="34">
        <f>IF(OR($J28="",$L28=""),"",$L28-100*$J28)</f>
        <v/>
      </c>
      <c r="N28" s="36" t="n">
        <v>63.38</v>
      </c>
      <c r="O28" s="36" t="n">
        <v>1792.87</v>
      </c>
      <c r="P28" s="37">
        <f>IF($E28="","",IF($E28&gt;0.05,"WARM dev3 — spike risk UP",IF($E28&lt;-0.05,"COLD dev3 — spike risk DOWN","")))</f>
        <v/>
      </c>
      <c r="Q28" s="38" t="n"/>
      <c r="R28" s="97">
        <f>$D$9</f>
        <v/>
      </c>
      <c r="S28" s="99">
        <f>IF($J28="","",$J28*100)</f>
        <v/>
      </c>
    </row>
    <row r="29">
      <c r="A29" s="30" t="inlineStr">
        <is>
          <t>Jul 08</t>
        </is>
      </c>
      <c r="B29" s="31" t="n">
        <v>0.708</v>
      </c>
      <c r="C29" s="31" t="n"/>
      <c r="D29" s="32">
        <f>IF(OR($B29="",$C29=""),"",$B29-$C29)</f>
        <v/>
      </c>
      <c r="E29" s="32">
        <f>IF(COUNT($D27:$D29)&lt;3,"",AVERAGE($D27:$D29))</f>
        <v/>
      </c>
      <c r="F29" s="32">
        <f>IF($B29="","",AVERAGE($B$22:$B29))</f>
        <v/>
      </c>
      <c r="G29" s="32" t="n">
        <v>0.5535</v>
      </c>
      <c r="H29" s="32" t="n">
        <v>0.74</v>
      </c>
      <c r="I29" s="32">
        <f>IF(OR($B29="",8&gt;=31),"",($D$9*31-SUM($B$22:$B29))/(31-8))</f>
        <v/>
      </c>
      <c r="J29" s="33">
        <f>IF($B29="","",1-NORMDIST($D$5,$D$6+$D$7*((SUM($B$22:$B29)+(31-8)*$H$7)/31),$D$11,TRUE))</f>
        <v/>
      </c>
      <c r="K29" s="34">
        <f>IF($J29="","",100*(1-$J29))</f>
        <v/>
      </c>
      <c r="L29" s="35" t="n">
        <v>16</v>
      </c>
      <c r="M29" s="34">
        <f>IF(OR($J29="",$L29=""),"",$L29-100*$J29)</f>
        <v/>
      </c>
      <c r="N29" s="36" t="n">
        <v>152.32</v>
      </c>
      <c r="O29" s="36" t="n">
        <v>1933.42</v>
      </c>
      <c r="P29" s="37">
        <f>IF($E29="","",IF($E29&gt;0.05,"WARM dev3 — spike risk UP",IF($E29&lt;-0.05,"COLD dev3 — spike risk DOWN","")))</f>
        <v/>
      </c>
      <c r="Q29" s="38" t="n"/>
      <c r="R29" s="97">
        <f>$D$9</f>
        <v/>
      </c>
      <c r="S29" s="99">
        <f>IF($J29="","",$J29*100)</f>
        <v/>
      </c>
    </row>
    <row r="30">
      <c r="A30" s="30" t="inlineStr">
        <is>
          <t>Jul 09</t>
        </is>
      </c>
      <c r="B30" s="31" t="n">
        <v>0.6879999999999999</v>
      </c>
      <c r="C30" s="31" t="n"/>
      <c r="D30" s="32">
        <f>IF(OR($B30="",$C30=""),"",$B30-$C30)</f>
        <v/>
      </c>
      <c r="E30" s="32">
        <f>IF(COUNT($D28:$D30)&lt;3,"",AVERAGE($D28:$D30))</f>
        <v/>
      </c>
      <c r="F30" s="32">
        <f>IF($B30="","",AVERAGE($B$22:$B30))</f>
        <v/>
      </c>
      <c r="G30" s="32" t="n">
        <v>0.5620000000000001</v>
      </c>
      <c r="H30" s="32" t="n">
        <v>0.7496</v>
      </c>
      <c r="I30" s="32">
        <f>IF(OR($B30="",9&gt;=31),"",($D$9*31-SUM($B$22:$B30))/(31-9))</f>
        <v/>
      </c>
      <c r="J30" s="33">
        <f>IF($B30="","",1-NORMDIST($D$5,$D$6+$D$7*((SUM($B$22:$B30)+(31-9)*$H$7)/31),$D$11,TRUE))</f>
        <v/>
      </c>
      <c r="K30" s="34">
        <f>IF($J30="","",100*(1-$J30))</f>
        <v/>
      </c>
      <c r="L30" s="35" t="n">
        <v>22</v>
      </c>
      <c r="M30" s="34">
        <f>IF(OR($J30="",$L30=""),"",$L30-100*$J30)</f>
        <v/>
      </c>
      <c r="N30" s="36" t="n">
        <v>353.79</v>
      </c>
      <c r="O30" s="36" t="n">
        <v>2287.21</v>
      </c>
      <c r="P30" s="37">
        <f>IF($E30="","",IF($E30&gt;0.05,"WARM dev3 — spike risk UP",IF($E30&lt;-0.05,"COLD dev3 — spike risk DOWN","")))</f>
        <v/>
      </c>
      <c r="Q30" s="38" t="n"/>
      <c r="R30" s="97">
        <f>$D$9</f>
        <v/>
      </c>
      <c r="S30" s="99">
        <f>IF($J30="","",$J30*100)</f>
        <v/>
      </c>
    </row>
    <row r="31">
      <c r="A31" s="30" t="inlineStr">
        <is>
          <t>Jul 10</t>
        </is>
      </c>
      <c r="B31" s="31" t="n">
        <v>0.605</v>
      </c>
      <c r="C31" s="31" t="n">
        <v>0.6084000000000001</v>
      </c>
      <c r="D31" s="32">
        <f>IF(OR($B31="",$C31=""),"",$B31-$C31)</f>
        <v/>
      </c>
      <c r="E31" s="32">
        <f>IF(COUNT($D29:$D31)&lt;3,"",AVERAGE($D29:$D31))</f>
        <v/>
      </c>
      <c r="F31" s="32">
        <f>IF($B31="","",AVERAGE($B$22:$B31))</f>
        <v/>
      </c>
      <c r="G31" s="32" t="n">
        <v>0.5733</v>
      </c>
      <c r="H31" s="32" t="n">
        <v>0.7568</v>
      </c>
      <c r="I31" s="32">
        <f>IF(OR($B31="",10&gt;=31),"",($D$9*31-SUM($B$22:$B31))/(31-10))</f>
        <v/>
      </c>
      <c r="J31" s="33">
        <f>IF($B31="","",1-NORMDIST($D$5,$D$6+$D$7*((SUM($B$22:$B31)+(31-10)*$H$7)/31),$D$11,TRUE))</f>
        <v/>
      </c>
      <c r="K31" s="34">
        <f>IF($J31="","",100*(1-$J31))</f>
        <v/>
      </c>
      <c r="L31" s="35" t="n">
        <v>24</v>
      </c>
      <c r="M31" s="34">
        <f>IF(OR($J31="",$L31=""),"",$L31-100*$J31)</f>
        <v/>
      </c>
      <c r="N31" s="36" t="n">
        <v>189.42</v>
      </c>
      <c r="O31" s="36" t="n">
        <v>2218.04</v>
      </c>
      <c r="P31" s="37">
        <f>IF($E31="","",IF($E31&gt;0.05,"WARM dev3 — spike risk UP",IF($E31&lt;-0.05,"COLD dev3 — spike risk DOWN","")))</f>
        <v/>
      </c>
      <c r="Q31" s="38" t="n"/>
      <c r="R31" s="97">
        <f>$D$9</f>
        <v/>
      </c>
      <c r="S31" s="99">
        <f>IF($J31="","",$J31*100)</f>
        <v/>
      </c>
    </row>
    <row r="32">
      <c r="A32" s="30" t="inlineStr">
        <is>
          <t>Jul 11</t>
        </is>
      </c>
      <c r="B32" s="31" t="n">
        <v>0.5659999999999999</v>
      </c>
      <c r="C32" s="31" t="n">
        <v>0.5427</v>
      </c>
      <c r="D32" s="32">
        <f>IF(OR($B32="",$C32=""),"",$B32-$C32)</f>
        <v/>
      </c>
      <c r="E32" s="32">
        <f>IF(COUNT($D30:$D32)&lt;3,"",AVERAGE($D30:$D32))</f>
        <v/>
      </c>
      <c r="F32" s="32">
        <f>IF($B32="","",AVERAGE($B$22:$B32))</f>
        <v/>
      </c>
      <c r="G32" s="32" t="n">
        <v>0.5816</v>
      </c>
      <c r="H32" s="32" t="n">
        <v>0.7577</v>
      </c>
      <c r="I32" s="32">
        <f>IF(OR($B32="",11&gt;=31),"",($D$9*31-SUM($B$22:$B32))/(31-11))</f>
        <v/>
      </c>
      <c r="J32" s="33">
        <f>IF($B32="","",1-NORMDIST($D$5,$D$6+$D$7*((SUM($B$22:$B32)+(31-11)*$H$7)/31),$D$11,TRUE))</f>
        <v/>
      </c>
      <c r="K32" s="34">
        <f>IF($J32="","",100*(1-$J32))</f>
        <v/>
      </c>
      <c r="L32" s="35" t="n">
        <v>24</v>
      </c>
      <c r="M32" s="34">
        <f>IF(OR($J32="",$L32=""),"",$L32-100*$J32)</f>
        <v/>
      </c>
      <c r="N32" s="36" t="n">
        <v>203.1</v>
      </c>
      <c r="O32" s="36" t="n">
        <v>2385.14</v>
      </c>
      <c r="P32" s="37">
        <f>IF($E32="","",IF($E32&gt;0.05,"WARM dev3 — spike risk UP",IF($E32&lt;-0.05,"COLD dev3 — spike risk DOWN","")))</f>
        <v/>
      </c>
      <c r="Q32" s="38" t="n"/>
      <c r="R32" s="97">
        <f>$D$9</f>
        <v/>
      </c>
      <c r="S32" s="99">
        <f>IF($J32="","",$J32*100)</f>
        <v/>
      </c>
    </row>
    <row r="33">
      <c r="A33" s="30" t="inlineStr">
        <is>
          <t>Jul 12</t>
        </is>
      </c>
      <c r="B33" s="31" t="n">
        <v>0.52</v>
      </c>
      <c r="C33" s="31" t="n">
        <v>0.4734</v>
      </c>
      <c r="D33" s="32">
        <f>IF(OR($B33="",$C33=""),"",$B33-$C33)</f>
        <v/>
      </c>
      <c r="E33" s="32">
        <f>IF(COUNT($D31:$D33)&lt;3,"",AVERAGE($D31:$D33))</f>
        <v/>
      </c>
      <c r="F33" s="32">
        <f>IF($B33="","",AVERAGE($B$22:$B33))</f>
        <v/>
      </c>
      <c r="G33" s="32" t="n">
        <v>0.5822000000000001</v>
      </c>
      <c r="H33" s="32" t="n">
        <v>0.7542</v>
      </c>
      <c r="I33" s="32">
        <f>IF(OR($B33="",12&gt;=31),"",($D$9*31-SUM($B$22:$B33))/(31-12))</f>
        <v/>
      </c>
      <c r="J33" s="33">
        <f>IF($B33="","",1-NORMDIST($D$5,$D$6+$D$7*((SUM($B$22:$B33)+(31-12)*$H$7)/31),$D$11,TRUE))</f>
        <v/>
      </c>
      <c r="K33" s="34">
        <f>IF($J33="","",100*(1-$J33))</f>
        <v/>
      </c>
      <c r="L33" s="35" t="n">
        <v>21</v>
      </c>
      <c r="M33" s="34">
        <f>IF(OR($J33="",$L33=""),"",$L33-100*$J33)</f>
        <v/>
      </c>
      <c r="N33" s="36" t="n">
        <v>665.35</v>
      </c>
      <c r="O33" s="36" t="n">
        <v>2873.89</v>
      </c>
      <c r="P33" s="37">
        <f>IF($E33="","",IF($E33&gt;0.05,"WARM dev3 — spike risk UP",IF($E33&lt;-0.05,"COLD dev3 — spike risk DOWN","")))</f>
        <v/>
      </c>
      <c r="Q33" s="38" t="n"/>
      <c r="R33" s="97">
        <f>$D$9</f>
        <v/>
      </c>
      <c r="S33" s="99">
        <f>IF($J33="","",$J33*100)</f>
        <v/>
      </c>
    </row>
    <row r="34">
      <c r="A34" s="30" t="inlineStr">
        <is>
          <t>Jul 13</t>
        </is>
      </c>
      <c r="B34" s="31" t="n">
        <v>0.528</v>
      </c>
      <c r="C34" s="31" t="n">
        <v>0.4076</v>
      </c>
      <c r="D34" s="32">
        <f>IF(OR($B34="",$C34=""),"",$B34-$C34)</f>
        <v/>
      </c>
      <c r="E34" s="32">
        <f>IF(COUNT($D32:$D34)&lt;3,"",AVERAGE($D32:$D34))</f>
        <v/>
      </c>
      <c r="F34" s="32">
        <f>IF($B34="","",AVERAGE($B$22:$B34))</f>
        <v/>
      </c>
      <c r="G34" s="32" t="n">
        <v>0.5802</v>
      </c>
      <c r="H34" s="32" t="n">
        <v>0.7453</v>
      </c>
      <c r="I34" s="32">
        <f>IF(OR($B34="",13&gt;=31),"",($D$9*31-SUM($B$22:$B34))/(31-13))</f>
        <v/>
      </c>
      <c r="J34" s="33">
        <f>IF($B34="","",1-NORMDIST($D$5,$D$6+$D$7*((SUM($B$22:$B34)+(31-13)*$H$7)/31),$D$11,TRUE))</f>
        <v/>
      </c>
      <c r="K34" s="34">
        <f>IF($J34="","",100*(1-$J34))</f>
        <v/>
      </c>
      <c r="L34" s="35" t="n">
        <v>20</v>
      </c>
      <c r="M34" s="34">
        <f>IF(OR($J34="",$L34=""),"",$L34-100*$J34)</f>
        <v/>
      </c>
      <c r="N34" s="36" t="n">
        <v>706.35</v>
      </c>
      <c r="O34" s="36" t="n">
        <v>3374.77</v>
      </c>
      <c r="P34" s="37">
        <f>IF($E34="","",IF($E34&gt;0.05,"WARM dev3 — spike risk UP",IF($E34&lt;-0.05,"COLD dev3 — spike risk DOWN","")))</f>
        <v/>
      </c>
      <c r="Q34" s="38" t="n"/>
      <c r="R34" s="97">
        <f>$D$9</f>
        <v/>
      </c>
      <c r="S34" s="99">
        <f>IF($J34="","",$J34*100)</f>
        <v/>
      </c>
    </row>
    <row r="35">
      <c r="A35" s="30" t="inlineStr">
        <is>
          <t>Jul 14</t>
        </is>
      </c>
      <c r="B35" s="31" t="n">
        <v>0.5600000000000001</v>
      </c>
      <c r="C35" s="31" t="n">
        <v>0.4134</v>
      </c>
      <c r="D35" s="32">
        <f>IF(OR($B35="",$C35=""),"",$B35-$C35)</f>
        <v/>
      </c>
      <c r="E35" s="32">
        <f>IF(COUNT($D33:$D35)&lt;3,"",AVERAGE($D33:$D35))</f>
        <v/>
      </c>
      <c r="F35" s="32">
        <f>IF($B35="","",AVERAGE($B$22:$B35))</f>
        <v/>
      </c>
      <c r="G35" s="32" t="n">
        <v>0.5764</v>
      </c>
      <c r="H35" s="32" t="n">
        <v>0.7354000000000001</v>
      </c>
      <c r="I35" s="32">
        <f>IF(OR($B35="",14&gt;=31),"",($D$9*31-SUM($B$22:$B35))/(31-14))</f>
        <v/>
      </c>
      <c r="J35" s="33">
        <f>IF($B35="","",1-NORMDIST($D$5,$D$6+$D$7*((SUM($B$22:$B35)+(31-14)*$H$7)/31),$D$11,TRUE))</f>
        <v/>
      </c>
      <c r="K35" s="34">
        <f>IF($J35="","",100*(1-$J35))</f>
        <v/>
      </c>
      <c r="L35" s="35" t="n">
        <v>27</v>
      </c>
      <c r="M35" s="34">
        <f>IF(OR($J35="",$L35=""),"",$L35-100*$J35)</f>
        <v/>
      </c>
      <c r="N35" s="36" t="n">
        <v>6366.54</v>
      </c>
      <c r="O35" s="36" t="n">
        <v>6124.14</v>
      </c>
      <c r="P35" s="37">
        <f>IF($E35="","",IF($E35&gt;0.05,"WARM dev3 — spike risk UP",IF($E35&lt;-0.05,"COLD dev3 — spike risk DOWN","")))</f>
        <v/>
      </c>
      <c r="Q35" s="38" t="n"/>
      <c r="R35" s="97">
        <f>$D$9</f>
        <v/>
      </c>
      <c r="S35" s="99">
        <f>IF($J35="","",$J35*100)</f>
        <v/>
      </c>
    </row>
    <row r="36">
      <c r="A36" s="30" t="inlineStr">
        <is>
          <t>Jul 15</t>
        </is>
      </c>
      <c r="B36" s="31" t="n">
        <v>0.5629999999999999</v>
      </c>
      <c r="C36" s="31" t="n">
        <v>0.3782</v>
      </c>
      <c r="D36" s="32">
        <f>IF(OR($B36="",$C36=""),"",$B36-$C36)</f>
        <v/>
      </c>
      <c r="E36" s="32">
        <f>IF(COUNT($D34:$D36)&lt;3,"",AVERAGE($D34:$D36))</f>
        <v/>
      </c>
      <c r="F36" s="32">
        <f>IF($B36="","",AVERAGE($B$22:$B36))</f>
        <v/>
      </c>
      <c r="G36" s="32" t="n">
        <v>0.5733</v>
      </c>
      <c r="H36" s="32" t="n">
        <v>0.7291</v>
      </c>
      <c r="I36" s="32">
        <f>IF(OR($B36="",15&gt;=31),"",($D$9*31-SUM($B$22:$B36))/(31-15))</f>
        <v/>
      </c>
      <c r="J36" s="33">
        <f>IF($B36="","",1-NORMDIST($D$5,$D$6+$D$7*((SUM($B$22:$B36)+(31-15)*$H$7)/31),$D$11,TRUE))</f>
        <v/>
      </c>
      <c r="K36" s="34">
        <f>IF($J36="","",100*(1-$J36))</f>
        <v/>
      </c>
      <c r="L36" s="35" t="n">
        <v>23</v>
      </c>
      <c r="M36" s="34">
        <f>IF(OR($J36="",$L36=""),"",$L36-100*$J36)</f>
        <v/>
      </c>
      <c r="N36" s="36" t="n">
        <v>2531.98</v>
      </c>
      <c r="O36" s="36" t="n">
        <v>8036.88</v>
      </c>
      <c r="P36" s="37">
        <f>IF($E36="","",IF($E36&gt;0.05,"WARM dev3 — spike risk UP",IF($E36&lt;-0.05,"COLD dev3 — spike risk DOWN","")))</f>
        <v/>
      </c>
      <c r="Q36" s="38" t="n"/>
      <c r="R36" s="97">
        <f>$D$9</f>
        <v/>
      </c>
      <c r="S36" s="99">
        <f>IF($J36="","",$J36*100)</f>
        <v/>
      </c>
    </row>
    <row r="37">
      <c r="A37" s="30" t="inlineStr">
        <is>
          <t>Jul 16</t>
        </is>
      </c>
      <c r="B37" s="31" t="n">
        <v>0.572</v>
      </c>
      <c r="C37" s="31" t="n">
        <v>0.4481</v>
      </c>
      <c r="D37" s="32">
        <f>IF(OR($B37="",$C37=""),"",$B37-$C37)</f>
        <v/>
      </c>
      <c r="E37" s="32">
        <f>IF(COUNT($D35:$D37)&lt;3,"",AVERAGE($D35:$D37))</f>
        <v/>
      </c>
      <c r="F37" s="32">
        <f>IF($B37="","",AVERAGE($B$22:$B37))</f>
        <v/>
      </c>
      <c r="G37" s="32" t="n">
        <v>0.5738</v>
      </c>
      <c r="H37" s="32" t="n">
        <v>0.7261</v>
      </c>
      <c r="I37" s="32">
        <f>IF(OR($B37="",16&gt;=31),"",($D$9*31-SUM($B$22:$B37))/(31-16))</f>
        <v/>
      </c>
      <c r="J37" s="33">
        <f>IF($B37="","",1-NORMDIST($D$5,$D$6+$D$7*((SUM($B$22:$B37)+(31-16)*$H$7)/31),$D$11,TRUE))</f>
        <v/>
      </c>
      <c r="K37" s="34">
        <f>IF($J37="","",100*(1-$J37))</f>
        <v/>
      </c>
      <c r="L37" s="35" t="n">
        <v>22</v>
      </c>
      <c r="M37" s="34">
        <f>IF(OR($J37="",$L37=""),"",$L37-100*$J37)</f>
        <v/>
      </c>
      <c r="N37" s="36" t="n">
        <v>3079.38</v>
      </c>
      <c r="O37" s="36" t="n">
        <v>9738.620000000001</v>
      </c>
      <c r="P37" s="37">
        <f>IF($E37="","",IF($E37&gt;0.05,"WARM dev3 — spike risk UP",IF($E37&lt;-0.05,"COLD dev3 — spike risk DOWN","")))</f>
        <v/>
      </c>
      <c r="Q37" s="38" t="n"/>
      <c r="R37" s="97">
        <f>$D$9</f>
        <v/>
      </c>
      <c r="S37" s="99">
        <f>IF($J37="","",$J37*100)</f>
        <v/>
      </c>
    </row>
    <row r="38">
      <c r="A38" s="30" t="inlineStr">
        <is>
          <t>Jul 17</t>
        </is>
      </c>
      <c r="B38" s="31" t="n">
        <v>0.5679999999999999</v>
      </c>
      <c r="C38" s="31" t="n">
        <v>0.3754</v>
      </c>
      <c r="D38" s="32">
        <f>IF(OR($B38="",$C38=""),"",$B38-$C38)</f>
        <v/>
      </c>
      <c r="E38" s="32">
        <f>IF(COUNT($D36:$D38)&lt;3,"",AVERAGE($D36:$D38))</f>
        <v/>
      </c>
      <c r="F38" s="32">
        <f>IF($B38="","",AVERAGE($B$22:$B38))</f>
        <v/>
      </c>
      <c r="G38" s="32" t="n">
        <v>0.5794</v>
      </c>
      <c r="H38" s="32" t="n">
        <v>0.7262</v>
      </c>
      <c r="I38" s="32">
        <f>IF(OR($B38="",17&gt;=31),"",($D$9*31-SUM($B$22:$B38))/(31-17))</f>
        <v/>
      </c>
      <c r="J38" s="33">
        <f>IF($B38="","",1-NORMDIST($D$5,$D$6+$D$7*((SUM($B$22:$B38)+(31-17)*$H$7)/31),$D$11,TRUE))</f>
        <v/>
      </c>
      <c r="K38" s="34">
        <f>IF($J38="","",100*(1-$J38))</f>
        <v/>
      </c>
      <c r="L38" s="35" t="n">
        <v>26</v>
      </c>
      <c r="M38" s="34">
        <f>IF(OR($J38="",$L38=""),"",$L38-100*$J38)</f>
        <v/>
      </c>
      <c r="N38" s="36" t="n">
        <v>1906.16</v>
      </c>
      <c r="O38" s="36" t="n">
        <v>10075.43</v>
      </c>
      <c r="P38" s="37">
        <f>IF($E38="","",IF($E38&gt;0.05,"WARM dev3 — spike risk UP",IF($E38&lt;-0.05,"COLD dev3 — spike risk DOWN","")))</f>
        <v/>
      </c>
      <c r="Q38" s="38" t="n"/>
      <c r="R38" s="97">
        <f>$D$9</f>
        <v/>
      </c>
      <c r="S38" s="99">
        <f>IF($J38="","",$J38*100)</f>
        <v/>
      </c>
    </row>
    <row r="39">
      <c r="A39" s="30" t="inlineStr">
        <is>
          <t>Jul 18</t>
        </is>
      </c>
      <c r="B39" s="31" t="n">
        <v>0.599</v>
      </c>
      <c r="C39" s="31" t="n">
        <v>0.3756</v>
      </c>
      <c r="D39" s="32">
        <f>IF(OR($B39="",$C39=""),"",$B39-$C39)</f>
        <v/>
      </c>
      <c r="E39" s="32">
        <f>IF(COUNT($D37:$D39)&lt;3,"",AVERAGE($D37:$D39))</f>
        <v/>
      </c>
      <c r="F39" s="32">
        <f>IF($B39="","",AVERAGE($B$22:$B39))</f>
        <v/>
      </c>
      <c r="G39" s="32" t="n">
        <v>0.5899</v>
      </c>
      <c r="H39" s="32" t="n">
        <v>0.7282</v>
      </c>
      <c r="I39" s="32">
        <f>IF(OR($B39="",18&gt;=31),"",($D$9*31-SUM($B$22:$B39))/(31-18))</f>
        <v/>
      </c>
      <c r="J39" s="33">
        <f>IF($B39="","",1-NORMDIST($D$5,$D$6+$D$7*((SUM($B$22:$B39)+(31-18)*$H$7)/31),$D$11,TRUE))</f>
        <v/>
      </c>
      <c r="K39" s="34">
        <f>IF($J39="","",100*(1-$J39))</f>
        <v/>
      </c>
      <c r="L39" s="35" t="n">
        <v>32</v>
      </c>
      <c r="M39" s="34">
        <f>IF(OR($J39="",$L39=""),"",$L39-100*$J39)</f>
        <v/>
      </c>
      <c r="N39" s="36" t="n">
        <v>5549.78</v>
      </c>
      <c r="O39" s="36" t="n">
        <v>12761.16</v>
      </c>
      <c r="P39" s="37">
        <f>IF($E39="","",IF($E39&gt;0.05,"WARM dev3 — spike risk UP",IF($E39&lt;-0.05,"COLD dev3 — spike risk DOWN","")))</f>
        <v/>
      </c>
      <c r="Q39" s="38" t="n"/>
      <c r="R39" s="97">
        <f>$D$9</f>
        <v/>
      </c>
      <c r="S39" s="99">
        <f>IF($J39="","",$J39*100)</f>
        <v/>
      </c>
    </row>
    <row r="40">
      <c r="A40" s="30" t="inlineStr">
        <is>
          <t>Jul 19</t>
        </is>
      </c>
      <c r="B40" s="31" t="n">
        <v>0.671</v>
      </c>
      <c r="C40" s="31" t="n">
        <v>0.4801</v>
      </c>
      <c r="D40" s="32">
        <f>IF(OR($B40="",$C40=""),"",$B40-$C40)</f>
        <v/>
      </c>
      <c r="E40" s="32">
        <f>IF(COUNT($D38:$D40)&lt;3,"",AVERAGE($D38:$D40))</f>
        <v/>
      </c>
      <c r="F40" s="32">
        <f>IF($B40="","",AVERAGE($B$22:$B40))</f>
        <v/>
      </c>
      <c r="G40" s="32" t="n">
        <v>0.6012</v>
      </c>
      <c r="H40" s="32" t="n">
        <v>0.7297</v>
      </c>
      <c r="I40" s="32">
        <f>IF(OR($B40="",19&gt;=31),"",($D$9*31-SUM($B$22:$B40))/(31-19))</f>
        <v/>
      </c>
      <c r="J40" s="33">
        <f>IF($B40="","",1-NORMDIST($D$5,$D$6+$D$7*((SUM($B$22:$B40)+(31-19)*$H$7)/31),$D$11,TRUE))</f>
        <v/>
      </c>
      <c r="K40" s="34">
        <f>IF($J40="","",100*(1-$J40))</f>
        <v/>
      </c>
      <c r="L40" s="35" t="n">
        <v>27</v>
      </c>
      <c r="M40" s="34">
        <f>IF(OR($J40="",$L40=""),"",$L40-100*$J40)</f>
        <v/>
      </c>
      <c r="N40" s="36" t="n">
        <v>4634.8</v>
      </c>
      <c r="O40" s="36" t="n">
        <v>15516.5</v>
      </c>
      <c r="P40" s="37">
        <f>IF($E40="","",IF($E40&gt;0.05,"WARM dev3 — spike risk UP",IF($E40&lt;-0.05,"COLD dev3 — spike risk DOWN","")))</f>
        <v/>
      </c>
      <c r="Q40" s="38" t="n"/>
      <c r="R40" s="97">
        <f>$D$9</f>
        <v/>
      </c>
      <c r="S40" s="99">
        <f>IF($J40="","",$J40*100)</f>
        <v/>
      </c>
    </row>
    <row r="41">
      <c r="A41" s="30" t="inlineStr">
        <is>
          <t>Jul 20</t>
        </is>
      </c>
      <c r="B41" s="31" t="n">
        <v>0.765</v>
      </c>
      <c r="C41" s="31" t="n">
        <v>0.6168</v>
      </c>
      <c r="D41" s="32">
        <f>IF(OR($B41="",$C41=""),"",$B41-$C41)</f>
        <v/>
      </c>
      <c r="E41" s="32">
        <f>IF(COUNT($D39:$D41)&lt;3,"",AVERAGE($D39:$D41))</f>
        <v/>
      </c>
      <c r="F41" s="32">
        <f>IF($B41="","",AVERAGE($B$22:$B41))</f>
        <v/>
      </c>
      <c r="G41" s="32" t="n">
        <v>0.6104000000000001</v>
      </c>
      <c r="H41" s="32" t="n">
        <v>0.7306</v>
      </c>
      <c r="I41" s="32">
        <f>IF(OR($B41="",20&gt;=31),"",($D$9*31-SUM($B$22:$B41))/(31-20))</f>
        <v/>
      </c>
      <c r="J41" s="33">
        <f>IF($B41="","",1-NORMDIST($D$5,$D$6+$D$7*((SUM($B$22:$B41)+(31-20)*$H$7)/31),$D$11,TRUE))</f>
        <v/>
      </c>
      <c r="K41" s="34">
        <f>IF($J41="","",100*(1-$J41))</f>
        <v/>
      </c>
      <c r="L41" s="35" t="n">
        <v>21</v>
      </c>
      <c r="M41" s="34">
        <f>IF(OR($J41="",$L41=""),"",$L41-100*$J41)</f>
        <v/>
      </c>
      <c r="N41" s="36" t="n">
        <v>3722.17</v>
      </c>
      <c r="O41" s="36" t="n">
        <v>15924.51</v>
      </c>
      <c r="P41" s="37">
        <f>IF($E41="","",IF($E41&gt;0.05,"WARM dev3 — spike risk UP",IF($E41&lt;-0.05,"COLD dev3 — spike risk DOWN","")))</f>
        <v/>
      </c>
      <c r="Q41" s="38" t="n"/>
      <c r="R41" s="97">
        <f>$D$9</f>
        <v/>
      </c>
      <c r="S41" s="99">
        <f>IF($J41="","",$J41*100)</f>
        <v/>
      </c>
    </row>
    <row r="42">
      <c r="A42" s="30" t="inlineStr">
        <is>
          <t>Jul 21</t>
        </is>
      </c>
      <c r="B42" s="31" t="n">
        <v>0.794</v>
      </c>
      <c r="C42" s="31" t="n">
        <v>0.6513</v>
      </c>
      <c r="D42" s="32">
        <f>IF(OR($B42="",$C42=""),"",$B42-$C42)</f>
        <v/>
      </c>
      <c r="E42" s="32">
        <f>IF(COUNT($D40:$D42)&lt;3,"",AVERAGE($D40:$D42))</f>
        <v/>
      </c>
      <c r="F42" s="32">
        <f>IF($B42="","",AVERAGE($B$22:$B42))</f>
        <v/>
      </c>
      <c r="G42" s="32" t="n">
        <v>0.6216</v>
      </c>
      <c r="H42" s="32" t="n">
        <v>0.7309</v>
      </c>
      <c r="I42" s="32">
        <f>IF(OR($B42="",21&gt;=31),"",($D$9*31-SUM($B$22:$B42))/(31-21))</f>
        <v/>
      </c>
      <c r="J42" s="33">
        <f>IF($B42="","",1-NORMDIST($D$5,$D$6+$D$7*((SUM($B$22:$B42)+(31-21)*$H$7)/31),$D$11,TRUE))</f>
        <v/>
      </c>
      <c r="K42" s="34">
        <f>IF($J42="","",100*(1-$J42))</f>
        <v/>
      </c>
      <c r="L42" s="35" t="n">
        <v>20</v>
      </c>
      <c r="M42" s="34">
        <f>IF(OR($J42="",$L42=""),"",$L42-100*$J42)</f>
        <v/>
      </c>
      <c r="N42" s="36" t="n">
        <v>5832.04</v>
      </c>
      <c r="O42" s="36" t="n">
        <v>16275.84</v>
      </c>
      <c r="P42" s="37">
        <f>IF($E42="","",IF($E42&gt;0.05,"WARM dev3 — spike risk UP",IF($E42&lt;-0.05,"COLD dev3 — spike risk DOWN","")))</f>
        <v/>
      </c>
      <c r="Q42" s="38" t="n"/>
      <c r="R42" s="97">
        <f>$D$9</f>
        <v/>
      </c>
      <c r="S42" s="99">
        <f>IF($J42="","",$J42*100)</f>
        <v/>
      </c>
    </row>
    <row r="43">
      <c r="A43" s="30" t="inlineStr">
        <is>
          <t>Jul 22</t>
        </is>
      </c>
      <c r="B43" s="31" t="n">
        <v>0.783</v>
      </c>
      <c r="C43" s="31" t="n">
        <v>0.756</v>
      </c>
      <c r="D43" s="32">
        <f>IF(OR($B43="",$C43=""),"",$B43-$C43)</f>
        <v/>
      </c>
      <c r="E43" s="32">
        <f>IF(COUNT($D41:$D43)&lt;3,"",AVERAGE($D41:$D43))</f>
        <v/>
      </c>
      <c r="F43" s="32">
        <f>IF($B43="","",AVERAGE($B$22:$B43))</f>
        <v/>
      </c>
      <c r="G43" s="32" t="n">
        <v>0.6345</v>
      </c>
      <c r="H43" s="32" t="n">
        <v>0.7309</v>
      </c>
      <c r="I43" s="32">
        <f>IF(OR($B43="",22&gt;=31),"",($D$9*31-SUM($B$22:$B43))/(31-22))</f>
        <v/>
      </c>
      <c r="J43" s="33">
        <f>IF($B43="","",1-NORMDIST($D$5,$D$6+$D$7*((SUM($B$22:$B43)+(31-22)*$H$7)/31),$D$11,TRUE))</f>
        <v/>
      </c>
      <c r="K43" s="34">
        <f>IF($J43="","",100*(1-$J43))</f>
        <v/>
      </c>
      <c r="L43" s="35" t="n">
        <v>21</v>
      </c>
      <c r="M43" s="34">
        <f>IF(OR($J43="",$L43=""),"",$L43-100*$J43)</f>
        <v/>
      </c>
      <c r="N43" s="36" t="n">
        <v>1205.35</v>
      </c>
      <c r="O43" s="36" t="n">
        <v>17033.13</v>
      </c>
      <c r="P43" s="37">
        <f>IF($E43="","",IF($E43&gt;0.05,"WARM dev3 — spike risk UP",IF($E43&lt;-0.05,"COLD dev3 — spike risk DOWN","")))</f>
        <v/>
      </c>
      <c r="Q43" s="38" t="n"/>
      <c r="R43" s="97">
        <f>$D$9</f>
        <v/>
      </c>
      <c r="S43" s="99">
        <f>IF($J43="","",$J43*100)</f>
        <v/>
      </c>
    </row>
    <row r="44">
      <c r="A44" s="30" t="inlineStr">
        <is>
          <t>Jul 23</t>
        </is>
      </c>
      <c r="B44" s="31" t="n">
        <v>0.769</v>
      </c>
      <c r="C44" s="31" t="n">
        <v>0.7406</v>
      </c>
      <c r="D44" s="32">
        <f>IF(OR($B44="",$C44=""),"",$B44-$C44)</f>
        <v/>
      </c>
      <c r="E44" s="32">
        <f>IF(COUNT($D42:$D44)&lt;3,"",AVERAGE($D42:$D44))</f>
        <v/>
      </c>
      <c r="F44" s="32">
        <f>IF($B44="","",AVERAGE($B$22:$B44))</f>
        <v/>
      </c>
      <c r="G44" s="32" t="n">
        <v>0.646</v>
      </c>
      <c r="H44" s="32" t="n">
        <v>0.7302999999999999</v>
      </c>
      <c r="I44" s="32">
        <f>IF(OR($B44="",23&gt;=31),"",($D$9*31-SUM($B$22:$B44))/(31-23))</f>
        <v/>
      </c>
      <c r="J44" s="33">
        <f>IF($B44="","",1-NORMDIST($D$5,$D$6+$D$7*((SUM($B$22:$B44)+(31-23)*$H$7)/31),$D$11,TRUE))</f>
        <v/>
      </c>
      <c r="K44" s="34">
        <f>IF($J44="","",100*(1-$J44))</f>
        <v/>
      </c>
      <c r="L44" s="35" t="n">
        <v>33</v>
      </c>
      <c r="M44" s="34">
        <f>IF(OR($J44="",$L44=""),"",$L44-100*$J44)</f>
        <v/>
      </c>
      <c r="N44" s="36" t="n">
        <v>6859.2</v>
      </c>
      <c r="O44" s="36" t="n">
        <v>20074.41</v>
      </c>
      <c r="P44" s="37">
        <f>IF($E44="","",IF($E44&gt;0.05,"WARM dev3 — spike risk UP",IF($E44&lt;-0.05,"COLD dev3 — spike risk DOWN","")))</f>
        <v/>
      </c>
      <c r="Q44" s="38" t="n"/>
      <c r="R44" s="97">
        <f>$D$9</f>
        <v/>
      </c>
      <c r="S44" s="99">
        <f>IF($J44="","",$J44*100)</f>
        <v/>
      </c>
    </row>
    <row r="45">
      <c r="A45" s="30" t="inlineStr">
        <is>
          <t>Jul 24</t>
        </is>
      </c>
      <c r="B45" s="31" t="n">
        <v>0.79</v>
      </c>
      <c r="C45" s="31" t="n">
        <v>0.7603</v>
      </c>
      <c r="D45" s="32">
        <f>IF(OR($B45="",$C45=""),"",$B45-$C45)</f>
        <v/>
      </c>
      <c r="E45" s="32">
        <f>IF(COUNT($D43:$D45)&lt;3,"",AVERAGE($D43:$D45))</f>
        <v/>
      </c>
      <c r="F45" s="32">
        <f>IF($B45="","",AVERAGE($B$22:$B45))</f>
        <v/>
      </c>
      <c r="G45" s="32" t="n">
        <v>0.6543</v>
      </c>
      <c r="H45" s="32" t="n">
        <v>0.7295</v>
      </c>
      <c r="I45" s="32">
        <f>IF(OR($B45="",24&gt;=31),"",($D$9*31-SUM($B$22:$B45))/(31-24))</f>
        <v/>
      </c>
      <c r="J45" s="33">
        <f>IF($B45="","",1-NORMDIST($D$5,$D$6+$D$7*((SUM($B$22:$B45)+(31-24)*$H$7)/31),$D$11,TRUE))</f>
        <v/>
      </c>
      <c r="K45" s="34">
        <f>IF($J45="","",100*(1-$J45))</f>
        <v/>
      </c>
      <c r="L45" s="35" t="n">
        <v>21</v>
      </c>
      <c r="M45" s="34">
        <f>IF(OR($J45="",$L45=""),"",$L45-100*$J45)</f>
        <v/>
      </c>
      <c r="N45" s="36" t="n">
        <v>3973.15</v>
      </c>
      <c r="O45" s="36" t="n">
        <v>21367.83</v>
      </c>
      <c r="P45" s="37">
        <f>IF($E45="","",IF($E45&gt;0.05,"WARM dev3 — spike risk UP",IF($E45&lt;-0.05,"COLD dev3 — spike risk DOWN","")))</f>
        <v/>
      </c>
      <c r="Q45" s="38" t="n"/>
      <c r="R45" s="97">
        <f>$D$9</f>
        <v/>
      </c>
      <c r="S45" s="99">
        <f>IF($J45="","",$J45*100)</f>
        <v/>
      </c>
    </row>
    <row r="46">
      <c r="A46" s="30" t="inlineStr">
        <is>
          <t>Jul 25</t>
        </is>
      </c>
      <c r="B46" s="31" t="n">
        <v>0.791</v>
      </c>
      <c r="C46" s="31" t="n">
        <v>0.6536999999999999</v>
      </c>
      <c r="D46" s="32">
        <f>IF(OR($B46="",$C46=""),"",$B46-$C46)</f>
        <v/>
      </c>
      <c r="E46" s="32">
        <f>IF(COUNT($D44:$D46)&lt;3,"",AVERAGE($D44:$D46))</f>
        <v/>
      </c>
      <c r="F46" s="32">
        <f>IF($B46="","",AVERAGE($B$22:$B46))</f>
        <v/>
      </c>
      <c r="G46" s="32" t="n">
        <v>0.6605</v>
      </c>
      <c r="H46" s="32" t="n">
        <v>0.7292999999999999</v>
      </c>
      <c r="I46" s="32">
        <f>IF(OR($B46="",25&gt;=31),"",($D$9*31-SUM($B$22:$B46))/(31-25))</f>
        <v/>
      </c>
      <c r="J46" s="33">
        <f>IF($B46="","",1-NORMDIST($D$5,$D$6+$D$7*((SUM($B$22:$B46)+(31-25)*$H$7)/31),$D$11,TRUE))</f>
        <v/>
      </c>
      <c r="K46" s="34">
        <f>IF($J46="","",100*(1-$J46))</f>
        <v/>
      </c>
      <c r="L46" s="35" t="n">
        <v>23</v>
      </c>
      <c r="M46" s="34">
        <f>IF(OR($J46="",$L46=""),"",$L46-100*$J46)</f>
        <v/>
      </c>
      <c r="N46" s="36" t="n">
        <v>1750.14</v>
      </c>
      <c r="O46" s="36" t="n">
        <v>22118.14</v>
      </c>
      <c r="P46" s="37">
        <f>IF($E46="","",IF($E46&gt;0.05,"WARM dev3 — spike risk UP",IF($E46&lt;-0.05,"COLD dev3 — spike risk DOWN","")))</f>
        <v/>
      </c>
      <c r="Q46" s="38" t="n"/>
      <c r="R46" s="97">
        <f>$D$9</f>
        <v/>
      </c>
      <c r="S46" s="99">
        <f>IF($J46="","",$J46*100)</f>
        <v/>
      </c>
    </row>
    <row r="47">
      <c r="A47" s="30" t="inlineStr">
        <is>
          <t>Jul 26</t>
        </is>
      </c>
      <c r="B47" s="31" t="n">
        <v>0.788</v>
      </c>
      <c r="C47" s="31" t="n">
        <v>0.6462</v>
      </c>
      <c r="D47" s="32">
        <f>IF(OR($B47="",$C47=""),"",$B47-$C47)</f>
        <v/>
      </c>
      <c r="E47" s="32">
        <f>IF(COUNT($D45:$D47)&lt;3,"",AVERAGE($D45:$D47))</f>
        <v/>
      </c>
      <c r="F47" s="32">
        <f>IF($B47="","",AVERAGE($B$22:$B47))</f>
        <v/>
      </c>
      <c r="G47" s="32" t="n">
        <v>0.6659</v>
      </c>
      <c r="H47" s="32" t="n">
        <v>0.7302</v>
      </c>
      <c r="I47" s="54" t="inlineStr">
        <is>
          <t>Fair N+I49O</t>
        </is>
      </c>
      <c r="J47" s="33">
        <f>IF($B47="","",1-NORMDIST($D$5,$D$6+$D$7*((SUM($B$22:$B47)+(31-26)*$H$7)/31),$D$11,TRUE))</f>
        <v/>
      </c>
      <c r="K47" s="34">
        <f>IF($J47="","",100*(1-$J47))</f>
        <v/>
      </c>
      <c r="L47" s="35" t="n">
        <v>22</v>
      </c>
      <c r="M47" s="34">
        <f>IF(OR($J47="",$L47=""),"",$L47-100*$J47)</f>
        <v/>
      </c>
      <c r="N47" s="36" t="n">
        <v>1228.22</v>
      </c>
      <c r="O47" s="36" t="n">
        <v>22837.27</v>
      </c>
      <c r="P47" s="37">
        <f>IF($E47="","",IF($E47&gt;0.05,"WARM dev3 — spike risk UP",IF($E47&lt;-0.05,"COLD dev3 — spike risk DOWN","")))</f>
        <v/>
      </c>
      <c r="Q47" s="38" t="n"/>
      <c r="R47" s="97">
        <f>$D$9</f>
        <v/>
      </c>
      <c r="S47" s="99">
        <f>IF($J47="","",$J47*100)</f>
        <v/>
      </c>
    </row>
    <row r="48">
      <c r="A48" s="30" t="inlineStr">
        <is>
          <t>Jul 27</t>
        </is>
      </c>
      <c r="B48" s="31" t="n">
        <v>0.773</v>
      </c>
      <c r="C48" s="31" t="n">
        <v>0.6574</v>
      </c>
      <c r="D48" s="32">
        <f>IF(OR($B48="",$C48=""),"",$B48-$C48)</f>
        <v/>
      </c>
      <c r="E48" s="32">
        <f>IF(COUNT($D46:$D48)&lt;3,"",AVERAGE($D46:$D48))</f>
        <v/>
      </c>
      <c r="F48" s="32">
        <f>IF($B48="","",AVERAGE($B$22:$B48))</f>
        <v/>
      </c>
      <c r="G48" s="32" t="n">
        <v>0.6717</v>
      </c>
      <c r="H48" s="32" t="n">
        <v>0.7302999999999999</v>
      </c>
      <c r="I48" s="32">
        <f>IF(OR($B48="",27&gt;=31),"",($D$9*31-SUM($B$22:$B48))/(31-27))</f>
        <v/>
      </c>
      <c r="J48" s="33">
        <f>IF($B48="","",1-NORMDIST($D$5,$D$6+$D$7*((SUM($B$22:$B48)+(31-27)*$H$7)/31),$D$11,TRUE))</f>
        <v/>
      </c>
      <c r="K48" s="34">
        <f>IF($J48="","",100*(1-$J48))</f>
        <v/>
      </c>
      <c r="L48" s="35" t="n">
        <v>22</v>
      </c>
      <c r="M48" s="34">
        <f>IF(OR($J48="",$L48=""),"",$L48-100*$J48)</f>
        <v/>
      </c>
      <c r="N48" s="36" t="n">
        <v>2041.19</v>
      </c>
      <c r="O48" s="36" t="n">
        <v>24002.95</v>
      </c>
      <c r="P48" s="37">
        <f>IF($E48="","",IF($E48&gt;0.05,"WARM dev3 — spike risk UP",IF($E48&lt;-0.05,"COLD dev3 — spike risk DOWN","")))</f>
        <v/>
      </c>
      <c r="Q48" s="38" t="n"/>
      <c r="R48" s="97">
        <f>$D$9</f>
        <v/>
      </c>
      <c r="S48" s="99">
        <f>IF($J48="","",$J48*100)</f>
        <v/>
      </c>
    </row>
    <row r="49">
      <c r="A49" s="30" t="inlineStr">
        <is>
          <t>Jul 28</t>
        </is>
      </c>
      <c r="B49" s="31" t="n">
        <v>0.748</v>
      </c>
      <c r="C49" s="31" t="n">
        <v>0.6933</v>
      </c>
      <c r="D49" s="32">
        <f>IF(OR($B49="",$C49=""),"",$B49-$C49)</f>
        <v/>
      </c>
      <c r="E49" s="32">
        <f>IF(COUNT($D47:$D49)&lt;3,"",AVERAGE($D47:$D49))</f>
        <v/>
      </c>
      <c r="F49" s="32">
        <f>IF($B49="","",AVERAGE($B$22:$B49))</f>
        <v/>
      </c>
      <c r="G49" s="32" t="n">
        <v>0.6758999999999999</v>
      </c>
      <c r="H49" s="32" t="n">
        <v>0.7295</v>
      </c>
      <c r="I49" s="32">
        <f>IF(OR($B49="",28&gt;=31),"",($D$9*31-SUM($B$22:$B49))/(31-28))</f>
        <v/>
      </c>
      <c r="J49" s="33">
        <f>IF($B49="","",1-NORMDIST($D$5,$D$6+$D$7*((SUM($B$22:$B49)+(31-28)*$H$7)/31),$D$11,TRUE))</f>
        <v/>
      </c>
      <c r="K49" s="34">
        <f>IF($J49="","",100*(1-$J49))</f>
        <v/>
      </c>
      <c r="L49" s="35" t="n">
        <v>29</v>
      </c>
      <c r="M49" s="34">
        <f>IF(OR($J49="",$L49=""),"",$L49-100*$J49)</f>
        <v/>
      </c>
      <c r="N49" s="36" t="n">
        <v>4459.59</v>
      </c>
      <c r="O49" s="36" t="n">
        <v>26476.29</v>
      </c>
      <c r="P49" s="37">
        <f>IF($E49="","",IF($E49&gt;0.05,"WARM dev3 — spike risk UP",IF($E49&lt;-0.05,"COLD dev3 — spike risk DOWN","")))</f>
        <v/>
      </c>
      <c r="Q49" s="38" t="n"/>
      <c r="R49" s="97">
        <f>$D$9</f>
        <v/>
      </c>
      <c r="S49" s="99">
        <f>IF($J49="","",$J49*100)</f>
        <v/>
      </c>
    </row>
    <row r="50">
      <c r="A50" s="30" t="inlineStr">
        <is>
          <t>Jul 29</t>
        </is>
      </c>
      <c r="B50" s="31" t="n">
        <v>0.708</v>
      </c>
      <c r="C50" s="31" t="n">
        <v>0.7178</v>
      </c>
      <c r="D50" s="32">
        <f>IF(OR($B50="",$C50=""),"",$B50-$C50)</f>
        <v/>
      </c>
      <c r="E50" s="32">
        <f>IF(COUNT($D48:$D50)&lt;3,"",AVERAGE($D48:$D50))</f>
        <v/>
      </c>
      <c r="F50" s="32">
        <f>IF($B50="","",AVERAGE($B$22:$B50))</f>
        <v/>
      </c>
      <c r="G50" s="32" t="n">
        <v>0.6784</v>
      </c>
      <c r="H50" s="32" t="n">
        <v>0.728</v>
      </c>
      <c r="I50" s="32">
        <f>IF(OR($B50="",29&gt;=31),"",($D$9*31-SUM($B$22:$B50))/(31-29))</f>
        <v/>
      </c>
      <c r="J50" s="33">
        <f>IF($B50="","",1-NORMDIST($D$5,$D$6+$D$7*((SUM($B$22:$B50)+(31-29)*$H$7)/31),$D$11,TRUE))</f>
        <v/>
      </c>
      <c r="K50" s="34">
        <f>IF($J50="","",100*(1-$J50))</f>
        <v/>
      </c>
      <c r="L50" s="35" t="n">
        <v>31</v>
      </c>
      <c r="M50" s="34">
        <f>IF(OR($J50="",$L50=""),"",$L50-100*$J50)</f>
        <v/>
      </c>
      <c r="N50" s="36" t="n">
        <v>4911.03</v>
      </c>
      <c r="O50" s="36" t="n">
        <v>27327.72</v>
      </c>
      <c r="P50" s="37">
        <f>IF($E50="","",IF($E50&gt;0.05,"WARM dev3 — spike risk UP",IF($E50&lt;-0.05,"COLD dev3 — spike risk DOWN","")))</f>
        <v/>
      </c>
      <c r="Q50" s="38" t="n"/>
      <c r="R50" s="97">
        <f>$D$9</f>
        <v/>
      </c>
      <c r="S50" s="99">
        <f>IF($J50="","",$J50*100)</f>
        <v/>
      </c>
    </row>
    <row r="51">
      <c r="A51" s="30" t="inlineStr">
        <is>
          <t>Jul 30</t>
        </is>
      </c>
      <c r="B51" s="31" t="n">
        <v>0.6830000000000001</v>
      </c>
      <c r="C51" s="31" t="n">
        <v>0.6725</v>
      </c>
      <c r="D51" s="32">
        <f>IF(OR($B51="",$C51=""),"",$B51-$C51)</f>
        <v/>
      </c>
      <c r="E51" s="32">
        <f>IF(COUNT($D49:$D51)&lt;3,"",AVERAGE($D49:$D51))</f>
        <v/>
      </c>
      <c r="F51" s="32">
        <f>IF($B51="","",AVERAGE($B$22:$B51))</f>
        <v/>
      </c>
      <c r="G51" s="32" t="n">
        <v>0.6798</v>
      </c>
      <c r="H51" s="32" t="n">
        <v>0.7268</v>
      </c>
      <c r="I51" s="32">
        <f>IF(OR($B51="",30&gt;=31),"",($D$9*31-SUM($B$22:$B51))/(31-30))</f>
        <v/>
      </c>
      <c r="J51" s="33">
        <f>IF($B51="","",1-NORMDIST($D$5,$D$6+$D$7*((SUM($B$22:$B51)+(31-30)*$H$7)/31),$D$11,TRUE))</f>
        <v/>
      </c>
      <c r="K51" s="34">
        <f>IF($J51="","",100*(1-$J51))</f>
        <v/>
      </c>
      <c r="L51" s="35" t="n">
        <v>26</v>
      </c>
      <c r="M51" s="34">
        <f>IF(OR($J51="",$L51=""),"",$L51-100*$J51)</f>
        <v/>
      </c>
      <c r="N51" s="36" t="n">
        <v>6851.49</v>
      </c>
      <c r="O51" s="36" t="n">
        <v>31013</v>
      </c>
      <c r="P51" s="37">
        <f>IF($E51="","",IF($E51&gt;0.05,"WARM dev3 — spike risk UP",IF($E51&lt;-0.05,"COLD dev3 — spike risk DOWN","")))</f>
        <v/>
      </c>
      <c r="Q51" s="38" t="n"/>
      <c r="R51" s="97">
        <f>$D$9</f>
        <v/>
      </c>
      <c r="S51" s="99">
        <f>IF($J51="","",$J51*100)</f>
        <v/>
      </c>
    </row>
    <row r="52">
      <c r="A52" s="30" t="inlineStr">
        <is>
          <t>Jul 31</t>
        </is>
      </c>
      <c r="B52" s="31" t="n">
        <v>0.706</v>
      </c>
      <c r="C52" s="31" t="n">
        <v>0.6653</v>
      </c>
      <c r="D52" s="32">
        <f>IF(OR($B52="",$C52=""),"",$B52-$C52)</f>
        <v/>
      </c>
      <c r="E52" s="32">
        <f>IF(COUNT($D50:$D52)&lt;3,"",AVERAGE($D50:$D52))</f>
        <v/>
      </c>
      <c r="F52" s="32">
        <f>IF($B52="","",AVERAGE($B$22:$B52))</f>
        <v/>
      </c>
      <c r="G52" s="32" t="n">
        <v>0.6811</v>
      </c>
      <c r="H52" s="32" t="n">
        <v>0.7249</v>
      </c>
      <c r="I52" s="32">
        <f>IF(OR($B52="",31&gt;=31),"",($D$9*31-SUM($B$22:$B52))/(31-31))</f>
        <v/>
      </c>
      <c r="J52" s="33">
        <f>IF($B52="","",1-NORMDIST($D$5,$D$6+$D$7*((SUM($B$22:$B52)+(31-31)*$H$7)/31),$D$11,TRUE))</f>
        <v/>
      </c>
      <c r="K52" s="34">
        <f>IF($J52="","",100*(1-$J52))</f>
        <v/>
      </c>
      <c r="L52" s="35" t="n">
        <v>21</v>
      </c>
      <c r="M52" s="34">
        <f>IF(OR($J52="",$L52=""),"",$L52-100*$J52)</f>
        <v/>
      </c>
      <c r="N52" s="36" t="n">
        <v>7431.46</v>
      </c>
      <c r="O52" s="36" t="n">
        <v>33069</v>
      </c>
      <c r="P52" s="37">
        <f>IF($E52="","",IF($E52&gt;0.05,"WARM dev3 — spike risk UP",IF($E52&lt;-0.05,"COLD dev3 — spike risk DOWN","")))</f>
        <v/>
      </c>
      <c r="Q52" s="38" t="n"/>
      <c r="R52" s="97">
        <f>$D$9</f>
        <v/>
      </c>
      <c r="S52" s="99">
        <f>IF($J52="","",$J52*100)</f>
        <v/>
      </c>
    </row>
    <row r="53">
      <c r="A53" s="57" t="inlineStr">
        <is>
          <t>MEAN</t>
        </is>
      </c>
      <c r="B53" s="152">
        <f>AVERAGE(B22:B52)</f>
        <v/>
      </c>
      <c r="C53" s="55">
        <f>AVERAGE(C22:C52)</f>
        <v/>
      </c>
      <c r="D53" s="55">
        <f>AVERAGE(D22:D52)</f>
        <v/>
      </c>
      <c r="E53" s="55">
        <f>AVERAGE(E22:E52)</f>
        <v/>
      </c>
      <c r="F53" s="55">
        <f>AVERAGE(F22:F52)</f>
        <v/>
      </c>
      <c r="G53" s="55">
        <f>AVERAGE(G22:G52)</f>
        <v/>
      </c>
      <c r="H53" s="55">
        <f>AVERAGE(H22:H52)</f>
        <v/>
      </c>
      <c r="I53" s="55" t="n"/>
      <c r="J53" s="58">
        <f>AVERAGE(J22:J52)</f>
        <v/>
      </c>
      <c r="K53" s="56">
        <f>AVERAGE(K22:K52)</f>
        <v/>
      </c>
      <c r="L53" s="56">
        <f>AVERAGE(L19:L52)</f>
        <v/>
      </c>
      <c r="M53" s="56">
        <f>AVERAGE(M19:M52)</f>
        <v/>
      </c>
      <c r="N53" s="56">
        <f>AVERAGE(N19:N52)</f>
        <v/>
      </c>
      <c r="O53" s="56">
        <f>AVERAGE(O19:O52)</f>
        <v/>
      </c>
    </row>
    <row r="55">
      <c r="A55" s="157" t="inlineStr">
        <is>
          <t>CALIBRATION — July 1990–2025</t>
        </is>
      </c>
      <c r="E55" s="157" t="inlineStr">
        <is>
          <t>σ_f BY k</t>
        </is>
      </c>
      <c r="F55" s="157" t="n"/>
      <c r="H55" s="157" t="inlineStr">
        <is>
          <t>TRANSLATION BIAS — 2026 prints</t>
        </is>
      </c>
    </row>
    <row r="56">
      <c r="A56" s="40" t="inlineStr">
        <is>
          <t>Year</t>
        </is>
      </c>
      <c r="B56" s="40" t="inlineStr">
        <is>
          <t>ERA5 mean</t>
        </is>
      </c>
      <c r="C56" s="40" t="inlineStr">
        <is>
          <t>NOAA printed</t>
        </is>
      </c>
      <c r="E56" s="40" t="inlineStr">
        <is>
          <t>k</t>
        </is>
      </c>
      <c r="F56" s="40" t="inlineStr">
        <is>
          <t>σ_f</t>
        </is>
      </c>
      <c r="H56" s="40" t="inlineStr">
        <is>
          <t>Month</t>
        </is>
      </c>
      <c r="I56" s="40" t="inlineStr">
        <is>
          <t>ERA5</t>
        </is>
      </c>
      <c r="J56" s="40" t="inlineStr">
        <is>
          <t>NOAA</t>
        </is>
      </c>
      <c r="K56" s="40" t="inlineStr">
        <is>
          <t>Fitted</t>
        </is>
      </c>
      <c r="L56" s="40" t="inlineStr">
        <is>
          <t>Residual</t>
        </is>
      </c>
    </row>
    <row r="57">
      <c r="A57" s="41" t="n">
        <v>1990</v>
      </c>
      <c r="B57" s="42" t="n">
        <v>-0.0765</v>
      </c>
      <c r="C57" s="43" t="n">
        <v>0.39</v>
      </c>
      <c r="E57" s="49" t="n">
        <v>0</v>
      </c>
      <c r="F57" s="50" t="n">
        <v>0.0902</v>
      </c>
      <c r="H57" s="44" t="inlineStr">
        <is>
          <t>Jan</t>
        </is>
      </c>
      <c r="I57" s="45" t="n">
        <v>0.5096000000000001</v>
      </c>
      <c r="J57" s="46" t="n">
        <v>1.1</v>
      </c>
      <c r="K57" s="47" t="n">
        <v>1.0963</v>
      </c>
      <c r="L57" s="48" t="n">
        <v>0.0037</v>
      </c>
    </row>
    <row r="58">
      <c r="A58" s="41" t="n">
        <v>1991</v>
      </c>
      <c r="B58" s="42" t="n">
        <v>-0.0462</v>
      </c>
      <c r="C58" s="43" t="n">
        <v>0.48</v>
      </c>
      <c r="E58" s="49" t="n">
        <v>1</v>
      </c>
      <c r="F58" s="50" t="n">
        <v>0.09030000000000001</v>
      </c>
      <c r="H58" s="44" t="inlineStr">
        <is>
          <t>Feb</t>
        </is>
      </c>
      <c r="I58" s="45" t="n">
        <v>0.5361</v>
      </c>
      <c r="J58" s="46" t="n">
        <v>1.18</v>
      </c>
      <c r="K58" s="47" t="n">
        <v>1.1486</v>
      </c>
      <c r="L58" s="48" t="n">
        <v>0.0314</v>
      </c>
    </row>
    <row r="59">
      <c r="A59" s="41" t="n">
        <v>1992</v>
      </c>
      <c r="B59" s="42" t="n">
        <v>-0.4601</v>
      </c>
      <c r="C59" s="43" t="n">
        <v>0.13</v>
      </c>
      <c r="E59" s="49" t="n">
        <v>2</v>
      </c>
      <c r="F59" s="50" t="n">
        <v>0.08989999999999999</v>
      </c>
      <c r="H59" s="44" t="inlineStr">
        <is>
          <t>Mar</t>
        </is>
      </c>
      <c r="I59" s="45" t="n">
        <v>0.534</v>
      </c>
      <c r="J59" s="46" t="n">
        <v>1.23</v>
      </c>
      <c r="K59" s="47" t="n">
        <v>1.1708</v>
      </c>
      <c r="L59" s="48" t="n">
        <v>0.0592</v>
      </c>
    </row>
    <row r="60">
      <c r="A60" s="41" t="n">
        <v>1993</v>
      </c>
      <c r="B60" s="42" t="n">
        <v>-0.3489</v>
      </c>
      <c r="C60" s="43" t="n">
        <v>0.23</v>
      </c>
      <c r="E60" s="49" t="n">
        <v>3</v>
      </c>
      <c r="F60" s="50" t="n">
        <v>0.08790000000000001</v>
      </c>
      <c r="H60" s="44" t="inlineStr">
        <is>
          <t>Apr</t>
        </is>
      </c>
      <c r="I60" s="45" t="n">
        <v>0.5232</v>
      </c>
      <c r="J60" s="46" t="n">
        <v>1.15</v>
      </c>
      <c r="K60" s="47" t="n">
        <v>1.116</v>
      </c>
      <c r="L60" s="48" t="n">
        <v>0.034</v>
      </c>
    </row>
    <row r="61">
      <c r="A61" s="41" t="n">
        <v>1994</v>
      </c>
      <c r="B61" s="42" t="n">
        <v>-0.2736</v>
      </c>
      <c r="C61" s="43" t="n">
        <v>0.31</v>
      </c>
      <c r="E61" s="49" t="n">
        <v>4</v>
      </c>
      <c r="F61" s="50" t="n">
        <v>0.0851</v>
      </c>
      <c r="H61" s="44" t="inlineStr">
        <is>
          <t>May</t>
        </is>
      </c>
      <c r="I61" s="45" t="n">
        <v>0.5455</v>
      </c>
      <c r="J61" s="46" t="n">
        <v>1.08</v>
      </c>
      <c r="K61" s="47" t="n">
        <v>1.0698</v>
      </c>
      <c r="L61" s="48" t="n">
        <v>0.0102</v>
      </c>
    </row>
    <row r="62">
      <c r="A62" s="41" t="n">
        <v>1995</v>
      </c>
      <c r="B62" s="42" t="n">
        <v>-0.1028</v>
      </c>
      <c r="C62" s="43" t="n">
        <v>0.51</v>
      </c>
      <c r="E62" s="49" t="n">
        <v>5</v>
      </c>
      <c r="F62" s="50" t="n">
        <v>0.0819</v>
      </c>
      <c r="H62" s="44" t="inlineStr">
        <is>
          <t>Jun</t>
        </is>
      </c>
      <c r="I62" s="45" t="n">
        <v>0.5593</v>
      </c>
      <c r="J62" s="46" t="n">
        <v>1.09</v>
      </c>
      <c r="K62" s="47" t="n">
        <v>1.0941</v>
      </c>
      <c r="L62" s="48" t="n">
        <v>-0.0041</v>
      </c>
    </row>
    <row r="63">
      <c r="A63" s="41" t="n">
        <v>1996</v>
      </c>
      <c r="B63" s="42" t="n">
        <v>-0.2053</v>
      </c>
      <c r="C63" s="43" t="n">
        <v>0.38</v>
      </c>
      <c r="E63" s="49" t="n">
        <v>6</v>
      </c>
      <c r="F63" s="50" t="n">
        <v>0.0776</v>
      </c>
      <c r="H63" s="51" t="inlineStr">
        <is>
          <t>MEAN</t>
        </is>
      </c>
      <c r="I63" s="48">
        <f>AVERAGE(I57:I62)</f>
        <v/>
      </c>
      <c r="J63" s="46">
        <f>AVERAGE(J57:J62)</f>
        <v/>
      </c>
      <c r="K63" s="47">
        <f>AVERAGE(K57:K62)</f>
        <v/>
      </c>
      <c r="L63" s="48">
        <f>AVERAGE(L57:L62)</f>
        <v/>
      </c>
    </row>
    <row r="64">
      <c r="A64" s="41" t="n">
        <v>1997</v>
      </c>
      <c r="B64" s="42" t="n">
        <v>-0.171</v>
      </c>
      <c r="C64" s="43" t="n">
        <v>0.41</v>
      </c>
      <c r="E64" s="49" t="n">
        <v>7</v>
      </c>
      <c r="F64" s="50" t="n">
        <v>0.0726</v>
      </c>
    </row>
    <row r="65">
      <c r="A65" s="41" t="n">
        <v>1998</v>
      </c>
      <c r="B65" s="42" t="n">
        <v>0.1228</v>
      </c>
      <c r="C65" s="43" t="n">
        <v>0.68</v>
      </c>
      <c r="E65" s="49" t="n">
        <v>8</v>
      </c>
      <c r="F65" s="50" t="n">
        <v>0.0682</v>
      </c>
    </row>
    <row r="66">
      <c r="A66" s="41" t="n">
        <v>1999</v>
      </c>
      <c r="B66" s="42" t="n">
        <v>-0.201</v>
      </c>
      <c r="C66" s="43" t="n">
        <v>0.38</v>
      </c>
      <c r="E66" s="49" t="n">
        <v>9</v>
      </c>
      <c r="F66" s="50" t="n">
        <v>0.0649</v>
      </c>
    </row>
    <row r="67">
      <c r="A67" s="41" t="n">
        <v>2000</v>
      </c>
      <c r="B67" s="42" t="n">
        <v>-0.2367</v>
      </c>
      <c r="C67" s="43" t="n">
        <v>0.4</v>
      </c>
      <c r="E67" s="49" t="n">
        <v>10</v>
      </c>
      <c r="F67" s="50" t="n">
        <v>0.0621</v>
      </c>
    </row>
    <row r="68">
      <c r="A68" s="41" t="n">
        <v>2001</v>
      </c>
      <c r="B68" s="42" t="n">
        <v>-0.0194</v>
      </c>
      <c r="C68" s="43" t="n">
        <v>0.58</v>
      </c>
      <c r="E68" s="49" t="n">
        <v>11</v>
      </c>
      <c r="F68" s="50" t="n">
        <v>0.0587</v>
      </c>
    </row>
    <row r="69">
      <c r="A69" s="41" t="n">
        <v>2002</v>
      </c>
      <c r="B69" s="42" t="n">
        <v>0.0349</v>
      </c>
      <c r="C69" s="43" t="n">
        <v>0.61</v>
      </c>
      <c r="E69" s="49" t="n">
        <v>12</v>
      </c>
      <c r="F69" s="50" t="n">
        <v>0.0546</v>
      </c>
    </row>
    <row r="70">
      <c r="A70" s="41" t="n">
        <v>2003</v>
      </c>
      <c r="B70" s="42" t="n">
        <v>-0.0462</v>
      </c>
      <c r="C70" s="43" t="n">
        <v>0.54</v>
      </c>
      <c r="E70" s="49" t="n">
        <v>13</v>
      </c>
      <c r="F70" s="50" t="n">
        <v>0.0504</v>
      </c>
    </row>
    <row r="71">
      <c r="A71" s="41" t="n">
        <v>2004</v>
      </c>
      <c r="B71" s="42" t="n">
        <v>-0.2748</v>
      </c>
      <c r="C71" s="43" t="n">
        <v>0.35</v>
      </c>
      <c r="E71" s="49" t="n">
        <v>14</v>
      </c>
      <c r="F71" s="50" t="n">
        <v>0.0465</v>
      </c>
    </row>
    <row r="72">
      <c r="A72" s="41" t="n">
        <v>2005</v>
      </c>
      <c r="B72" s="42" t="n">
        <v>0.0863</v>
      </c>
      <c r="C72" s="43" t="n">
        <v>0.59</v>
      </c>
      <c r="E72" s="49" t="n">
        <v>15</v>
      </c>
      <c r="F72" s="50" t="n">
        <v>0.0436</v>
      </c>
    </row>
    <row r="73">
      <c r="A73" s="41" t="n">
        <v>2006</v>
      </c>
      <c r="B73" s="42" t="n">
        <v>0.0043</v>
      </c>
      <c r="C73" s="43" t="n">
        <v>0.54</v>
      </c>
      <c r="E73" s="49" t="n">
        <v>16</v>
      </c>
      <c r="F73" s="50" t="n">
        <v>0.0416</v>
      </c>
    </row>
    <row r="74">
      <c r="A74" s="41" t="n">
        <v>2007</v>
      </c>
      <c r="B74" s="42" t="n">
        <v>0.0074</v>
      </c>
      <c r="C74" s="43" t="n">
        <v>0.58</v>
      </c>
      <c r="E74" s="49" t="n">
        <v>17</v>
      </c>
      <c r="F74" s="50" t="n">
        <v>0.0397</v>
      </c>
    </row>
    <row r="75">
      <c r="A75" s="41" t="n">
        <v>2008</v>
      </c>
      <c r="B75" s="42" t="n">
        <v>-0.0225</v>
      </c>
      <c r="C75" s="43" t="n">
        <v>0.58</v>
      </c>
      <c r="E75" s="49" t="n">
        <v>18</v>
      </c>
      <c r="F75" s="50" t="n">
        <v>0.0373</v>
      </c>
    </row>
    <row r="76">
      <c r="A76" s="41" t="n">
        <v>2009</v>
      </c>
      <c r="B76" s="42" t="n">
        <v>0.1387</v>
      </c>
      <c r="C76" s="43" t="n">
        <v>0.71</v>
      </c>
      <c r="E76" s="49" t="n">
        <v>19</v>
      </c>
      <c r="F76" s="50" t="n">
        <v>0.0346</v>
      </c>
    </row>
    <row r="77">
      <c r="A77" s="41" t="n">
        <v>2010</v>
      </c>
      <c r="B77" s="42" t="n">
        <v>0.053</v>
      </c>
      <c r="C77" s="43" t="n">
        <v>0.65</v>
      </c>
      <c r="E77" s="49" t="n">
        <v>20</v>
      </c>
      <c r="F77" s="50" t="n">
        <v>0.0322</v>
      </c>
    </row>
    <row r="78">
      <c r="A78" s="41" t="n">
        <v>2011</v>
      </c>
      <c r="B78" s="42" t="n">
        <v>0.1441</v>
      </c>
      <c r="C78" s="43" t="n">
        <v>0.68</v>
      </c>
      <c r="E78" s="49" t="n">
        <v>21</v>
      </c>
      <c r="F78" s="50" t="n">
        <v>0.0299</v>
      </c>
    </row>
    <row r="79">
      <c r="A79" s="41" t="n">
        <v>2012</v>
      </c>
      <c r="B79" s="42" t="n">
        <v>0.0413</v>
      </c>
      <c r="C79" s="43" t="n">
        <v>0.61</v>
      </c>
      <c r="E79" s="49" t="n">
        <v>22</v>
      </c>
      <c r="F79" s="50" t="n">
        <v>0.0274</v>
      </c>
    </row>
    <row r="80">
      <c r="A80" s="41" t="n">
        <v>2013</v>
      </c>
      <c r="B80" s="42" t="n">
        <v>-0.0241</v>
      </c>
      <c r="C80" s="43" t="n">
        <v>0.61</v>
      </c>
      <c r="E80" s="49" t="n">
        <v>23</v>
      </c>
      <c r="F80" s="50" t="n">
        <v>0.0249</v>
      </c>
    </row>
    <row r="81">
      <c r="A81" s="41" t="n">
        <v>2014</v>
      </c>
      <c r="B81" s="42" t="n">
        <v>0.0667</v>
      </c>
      <c r="C81" s="43" t="n">
        <v>0.63</v>
      </c>
      <c r="E81" s="49" t="n">
        <v>24</v>
      </c>
      <c r="F81" s="50" t="n">
        <v>0.0224</v>
      </c>
    </row>
    <row r="82">
      <c r="A82" s="41" t="n">
        <v>2015</v>
      </c>
      <c r="B82" s="42" t="n">
        <v>0.1546</v>
      </c>
      <c r="C82" s="43" t="n">
        <v>0.75</v>
      </c>
      <c r="E82" s="49" t="n">
        <v>25</v>
      </c>
      <c r="F82" s="50" t="n">
        <v>0.0197</v>
      </c>
    </row>
    <row r="83">
      <c r="A83" s="41" t="n">
        <v>2016</v>
      </c>
      <c r="B83" s="42" t="n">
        <v>0.3615</v>
      </c>
      <c r="C83" s="43" t="n">
        <v>0.84</v>
      </c>
      <c r="E83" s="49" t="n">
        <v>26</v>
      </c>
      <c r="F83" s="50" t="n">
        <v>0.0165</v>
      </c>
    </row>
    <row r="84">
      <c r="A84" s="41" t="n">
        <v>2017</v>
      </c>
      <c r="B84" s="42" t="n">
        <v>0.2666</v>
      </c>
      <c r="C84" s="43" t="n">
        <v>0.84</v>
      </c>
      <c r="E84" s="49" t="n">
        <v>27</v>
      </c>
      <c r="F84" s="50" t="n">
        <v>0.013</v>
      </c>
    </row>
    <row r="85">
      <c r="A85" s="41" t="n">
        <v>2018</v>
      </c>
      <c r="B85" s="42" t="n">
        <v>0.2793</v>
      </c>
      <c r="C85" s="43" t="n">
        <v>0.82</v>
      </c>
      <c r="E85" s="49" t="n">
        <v>28</v>
      </c>
      <c r="F85" s="50" t="n">
        <v>0.0094</v>
      </c>
    </row>
    <row r="86">
      <c r="A86" s="41" t="n">
        <v>2019</v>
      </c>
      <c r="B86" s="42" t="n">
        <v>0.3979</v>
      </c>
      <c r="C86" s="43" t="n">
        <v>0.92</v>
      </c>
      <c r="E86" s="49" t="n">
        <v>29</v>
      </c>
      <c r="F86" s="50" t="n">
        <v>0.0062</v>
      </c>
    </row>
    <row r="87">
      <c r="A87" s="41" t="n">
        <v>2020</v>
      </c>
      <c r="B87" s="42" t="n">
        <v>0.3262</v>
      </c>
      <c r="C87" s="43" t="n">
        <v>0.91</v>
      </c>
      <c r="E87" s="49" t="n">
        <v>30</v>
      </c>
      <c r="F87" s="50" t="n">
        <v>0.0031</v>
      </c>
    </row>
    <row r="88">
      <c r="A88" s="41" t="n">
        <v>2021</v>
      </c>
      <c r="B88" s="42" t="n">
        <v>0.3318</v>
      </c>
      <c r="C88" s="43" t="n">
        <v>0.89</v>
      </c>
      <c r="E88" s="49" t="n">
        <v>31</v>
      </c>
      <c r="F88" s="50" t="n">
        <v>0</v>
      </c>
    </row>
    <row r="89">
      <c r="A89" s="41" t="n">
        <v>2022</v>
      </c>
      <c r="B89" s="42" t="n">
        <v>0.3783</v>
      </c>
      <c r="C89" s="43" t="n">
        <v>0.9</v>
      </c>
    </row>
    <row r="90">
      <c r="A90" s="41" t="n">
        <v>2023</v>
      </c>
      <c r="B90" s="42" t="n">
        <v>0.7249</v>
      </c>
      <c r="C90" s="43" t="n">
        <v>1.16</v>
      </c>
    </row>
    <row r="91">
      <c r="A91" s="41" t="n">
        <v>2024</v>
      </c>
      <c r="B91" s="42" t="n">
        <v>0.6811</v>
      </c>
      <c r="C91" s="43" t="n">
        <v>1.18</v>
      </c>
    </row>
    <row r="92">
      <c r="A92" s="41" t="n">
        <v>2025</v>
      </c>
      <c r="B92" s="42" t="n">
        <v>0.4499</v>
      </c>
      <c r="C92" s="43" t="n">
        <v>0.96</v>
      </c>
    </row>
  </sheetData>
  <mergeCells count="56">
    <mergeCell ref="E10:G10"/>
    <mergeCell ref="E13:G13"/>
    <mergeCell ref="M8:P8"/>
    <mergeCell ref="E9:G9"/>
    <mergeCell ref="I12:K12"/>
    <mergeCell ref="A55:C55"/>
    <mergeCell ref="A12:C12"/>
    <mergeCell ref="H55:L55"/>
    <mergeCell ref="M14:P14"/>
    <mergeCell ref="E15:G15"/>
    <mergeCell ref="A1:Q1"/>
    <mergeCell ref="E6:G6"/>
    <mergeCell ref="M4:P4"/>
    <mergeCell ref="E11:G11"/>
    <mergeCell ref="A5:C5"/>
    <mergeCell ref="E3:H3"/>
    <mergeCell ref="I14:K14"/>
    <mergeCell ref="A8:C8"/>
    <mergeCell ref="I5:K5"/>
    <mergeCell ref="A14:C14"/>
    <mergeCell ref="I8:K8"/>
    <mergeCell ref="I4:K4"/>
    <mergeCell ref="A4:C4"/>
    <mergeCell ref="E7:G7"/>
    <mergeCell ref="M9:P9"/>
    <mergeCell ref="A10:C10"/>
    <mergeCell ref="M5:P5"/>
    <mergeCell ref="I10:K10"/>
    <mergeCell ref="A13:C13"/>
    <mergeCell ref="I13:K13"/>
    <mergeCell ref="I9:K9"/>
    <mergeCell ref="A2:Q2"/>
    <mergeCell ref="A9:C9"/>
    <mergeCell ref="M11:P11"/>
    <mergeCell ref="E12:G12"/>
    <mergeCell ref="M10:P10"/>
    <mergeCell ref="A15:C15"/>
    <mergeCell ref="M3:Q3"/>
    <mergeCell ref="I15:K15"/>
    <mergeCell ref="I6:K6"/>
    <mergeCell ref="I11:K11"/>
    <mergeCell ref="A11:C11"/>
    <mergeCell ref="E14:G14"/>
    <mergeCell ref="E5:G5"/>
    <mergeCell ref="I3:L3"/>
    <mergeCell ref="M13:P13"/>
    <mergeCell ref="M7:P7"/>
    <mergeCell ref="E8:G8"/>
    <mergeCell ref="A3:D3"/>
    <mergeCell ref="A6:C6"/>
    <mergeCell ref="M6:P6"/>
    <mergeCell ref="E4:G4"/>
    <mergeCell ref="M12:P12"/>
    <mergeCell ref="M15:P15"/>
    <mergeCell ref="A7:C7"/>
    <mergeCell ref="I7:K7"/>
  </mergeCells>
  <conditionalFormatting sqref="B22:B52">
    <cfRule type="cellIs" priority="5" operator="greaterThanOrEqual" dxfId="1">
      <formula>$D$9</formula>
    </cfRule>
  </conditionalFormatting>
  <conditionalFormatting sqref="D12">
    <cfRule type="cellIs" priority="6" operator="equal" dxfId="4">
      <formula>"DRIFT"</formula>
    </cfRule>
  </conditionalFormatting>
  <conditionalFormatting sqref="E18:E52">
    <cfRule type="cellIs" priority="1" operator="greaterThan" dxfId="3">
      <formula>0.05</formula>
    </cfRule>
    <cfRule type="cellIs" priority="2" operator="lessThan" dxfId="2">
      <formula>-0.05</formula>
    </cfRule>
  </conditionalFormatting>
  <conditionalFormatting sqref="M18:M52">
    <cfRule type="cellIs" priority="3" operator="greaterThanOrEqual" dxfId="1">
      <formula>3</formula>
    </cfRule>
    <cfRule type="cellIs" priority="4" operator="lessThanOrEqual" dxfId="0">
      <formula>-3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2"/>
  <sheetViews>
    <sheetView tabSelected="1" zoomScale="118" zoomScaleNormal="68" workbookViewId="0">
      <selection activeCell="O28" sqref="O28"/>
    </sheetView>
  </sheetViews>
  <sheetFormatPr baseColWidth="10" defaultColWidth="8.83203125" defaultRowHeight="15"/>
  <cols>
    <col width="6" bestFit="1" customWidth="1" style="158" min="1" max="1"/>
    <col width="9.33203125" bestFit="1" customWidth="1" style="158" min="2" max="2"/>
    <col width="9.5" bestFit="1" customWidth="1" style="158" min="3" max="3"/>
    <col width="7.6640625" customWidth="1" style="158" min="4" max="4"/>
    <col width="7" bestFit="1" customWidth="1" style="158" min="5" max="5"/>
    <col width="8.5" customWidth="1" style="158" min="6" max="6"/>
    <col width="6.5" customWidth="1" style="158" min="7" max="7"/>
    <col width="8.1640625" bestFit="1" customWidth="1" style="158" min="8" max="8"/>
    <col width="7.1640625" bestFit="1" customWidth="1" style="158" min="9" max="9"/>
    <col width="6.1640625" bestFit="1" customWidth="1" style="158" min="10" max="10"/>
    <col width="7.1640625" bestFit="1" customWidth="1" style="158" min="11" max="11"/>
    <col width="10.1640625" bestFit="1" customWidth="1" style="158" min="12" max="12"/>
    <col width="5.6640625" bestFit="1" customWidth="1" style="158" min="13" max="13"/>
    <col width="6.6640625" customWidth="1" style="158" min="14" max="14"/>
    <col width="7.6640625" customWidth="1" style="158" min="15" max="15"/>
    <col width="5.6640625" bestFit="1" customWidth="1" style="158" min="16" max="16"/>
    <col width="7.6640625" bestFit="1" customWidth="1" style="158" min="17" max="17"/>
    <col width="5.83203125" bestFit="1" customWidth="1" style="158" min="18" max="18"/>
    <col width="6.83203125" bestFit="1" customWidth="1" style="158" min="19" max="19"/>
    <col width="8.83203125" customWidth="1" style="158" min="20" max="22"/>
    <col width="8.83203125" customWidth="1" style="158" min="23" max="16384"/>
  </cols>
  <sheetData>
    <row r="1" ht="18" customHeight="1" s="170">
      <c r="A1" s="165" t="inlineStr">
        <is>
          <t>KXHMONTH-26AUG  —  “Will August 2026 be the hottest August ever?”</t>
        </is>
      </c>
    </row>
    <row r="2">
      <c r="A2" s="161" t="inlineStr">
        <is>
          <t xml:space="preserve">record 1.25, needs a 1.26 print   ·   ERA5 bar +0.69216/day   ·   fit 1990–2025, n=36 </t>
        </is>
      </c>
    </row>
    <row r="3">
      <c r="A3" s="166" t="inlineStr">
        <is>
          <t>CONTRACT &amp; TRANSLATION</t>
        </is>
      </c>
      <c r="E3" s="166" t="inlineStr">
        <is>
          <t>CURRENT STATE</t>
        </is>
      </c>
      <c r="I3" s="166" t="inlineStr">
        <is>
          <t>ENSEMBLE</t>
        </is>
      </c>
      <c r="M3" s="166" t="inlineStr">
        <is>
          <t>MARKET &amp; P&amp;L</t>
        </is>
      </c>
    </row>
    <row r="4">
      <c r="A4" s="162" t="inlineStr">
        <is>
          <t>Record (printed)</t>
        </is>
      </c>
      <c r="B4" s="154" t="n"/>
      <c r="C4" s="155" t="n"/>
      <c r="D4" s="66" t="n">
        <v>1.25</v>
      </c>
      <c r="E4" s="162" t="inlineStr">
        <is>
          <t>k  (days observed)</t>
        </is>
      </c>
      <c r="F4" s="154" t="n"/>
      <c r="G4" s="155" t="n"/>
      <c r="H4" s="67">
        <f>COUNT($B$22:$B$52)</f>
        <v/>
      </c>
      <c r="I4" s="162" t="inlineStr">
        <is>
          <t>Run</t>
        </is>
      </c>
      <c r="J4" s="154" t="n"/>
      <c r="K4" s="155" t="n"/>
      <c r="L4" s="68" t="inlineStr">
        <is>
          <t>2026-08-05</t>
        </is>
      </c>
      <c r="M4" s="162" t="inlineStr">
        <is>
          <t>Side held</t>
        </is>
      </c>
      <c r="N4" s="154" t="n"/>
      <c r="O4" s="154" t="n"/>
      <c r="P4" s="155" t="n"/>
      <c r="Q4" s="69" t="n"/>
    </row>
    <row r="5">
      <c r="A5" s="162" t="inlineStr">
        <is>
          <t>Latent threshold</t>
        </is>
      </c>
      <c r="B5" s="154" t="n"/>
      <c r="C5" s="155" t="n"/>
      <c r="D5" s="70" t="n">
        <v>1.255</v>
      </c>
      <c r="E5" s="162" t="inlineStr">
        <is>
          <t>MTD mean</t>
        </is>
      </c>
      <c r="F5" s="154" t="n"/>
      <c r="G5" s="155" t="n"/>
      <c r="H5" s="71">
        <f>IF($H$4=0,"",AVERAGE($B$22:$B$52))</f>
        <v/>
      </c>
      <c r="I5" s="162" t="inlineStr">
        <is>
          <t>Members</t>
        </is>
      </c>
      <c r="J5" s="154" t="n"/>
      <c r="K5" s="155" t="n"/>
      <c r="L5" s="67" t="n">
        <v>51</v>
      </c>
      <c r="M5" s="162" t="inlineStr">
        <is>
          <t>Contracts</t>
        </is>
      </c>
      <c r="N5" s="154" t="n"/>
      <c r="O5" s="154" t="n"/>
      <c r="P5" s="155" t="n"/>
      <c r="Q5" s="72" t="n"/>
    </row>
    <row r="6">
      <c r="A6" s="162" t="inlineStr">
        <is>
          <t>a  (intercept)</t>
        </is>
      </c>
      <c r="B6" s="154" t="n"/>
      <c r="C6" s="155" t="n"/>
      <c r="D6" s="73" t="n">
        <v>0.5891999999999999</v>
      </c>
      <c r="E6" s="162" t="inlineStr">
        <is>
          <t>Needed /day over rest</t>
        </is>
      </c>
      <c r="F6" s="154" t="n"/>
      <c r="G6" s="155" t="n"/>
      <c r="H6" s="71">
        <f>IF(OR($H$4=0,$H$4&gt;=31),"",($D$9*31-SUM($B$22:$B$52))/(31-$H$4))</f>
        <v/>
      </c>
      <c r="I6" s="162" t="inlineStr">
        <is>
          <t>Coldest member</t>
        </is>
      </c>
      <c r="J6" s="154" t="n"/>
      <c r="K6" s="155" t="n"/>
      <c r="L6" s="71" t="n">
        <v>0.6314</v>
      </c>
      <c r="M6" s="162" t="inlineStr">
        <is>
          <t>Avg entry ¢</t>
        </is>
      </c>
      <c r="N6" s="154" t="n"/>
      <c r="O6" s="154" t="n"/>
      <c r="P6" s="155" t="n"/>
      <c r="Q6" s="74" t="n"/>
    </row>
    <row r="7">
      <c r="A7" s="162" t="inlineStr">
        <is>
          <t>b  (slope)</t>
        </is>
      </c>
      <c r="B7" s="154" t="n"/>
      <c r="C7" s="155" t="n"/>
      <c r="D7" s="73" t="n">
        <v>0.9619</v>
      </c>
      <c r="E7" s="162" t="inlineStr">
        <is>
          <t>Assumed rate, remaining days</t>
        </is>
      </c>
      <c r="F7" s="154" t="n"/>
      <c r="G7" s="155" t="n"/>
      <c r="H7" s="75" t="n">
        <v>0.6704</v>
      </c>
      <c r="I7" s="162" t="inlineStr">
        <is>
          <t>Average member</t>
        </is>
      </c>
      <c r="J7" s="154" t="n"/>
      <c r="K7" s="155" t="n"/>
      <c r="L7" s="71" t="n">
        <v>0.7027</v>
      </c>
      <c r="M7" s="162" t="inlineStr">
        <is>
          <t>Cost $</t>
        </is>
      </c>
      <c r="N7" s="154" t="n"/>
      <c r="O7" s="154" t="n"/>
      <c r="P7" s="155" t="n"/>
      <c r="Q7" s="76">
        <f>IF($Q$5="","",$Q$5*$Q$6/100)</f>
        <v/>
      </c>
    </row>
    <row r="8">
      <c r="A8" s="162" t="inlineStr">
        <is>
          <t>σ translation</t>
        </is>
      </c>
      <c r="B8" s="154" t="n"/>
      <c r="C8" s="155" t="n"/>
      <c r="D8" s="73" t="n">
        <v>0.0357</v>
      </c>
      <c r="E8" s="162" t="inlineStr">
        <is>
          <t>Projected full-month ERA5</t>
        </is>
      </c>
      <c r="F8" s="154" t="n"/>
      <c r="G8" s="155" t="n"/>
      <c r="H8" s="71">
        <f>(SUM($B$22:$B$52)+(31-$H$4)*$H$7)/31</f>
        <v/>
      </c>
      <c r="I8" s="162" t="inlineStr">
        <is>
          <t>Hottest member</t>
        </is>
      </c>
      <c r="J8" s="154" t="n"/>
      <c r="K8" s="155" t="n"/>
      <c r="L8" s="71" t="n">
        <v>0.7921</v>
      </c>
      <c r="M8" s="162" t="inlineStr">
        <is>
          <t>Fees paid $</t>
        </is>
      </c>
      <c r="N8" s="154" t="n"/>
      <c r="O8" s="154" t="n"/>
      <c r="P8" s="155" t="n"/>
      <c r="Q8" s="77" t="n"/>
    </row>
    <row r="9">
      <c r="A9" s="162" t="inlineStr">
        <is>
          <t>ERA5 bar (full month)</t>
        </is>
      </c>
      <c r="B9" s="154" t="n"/>
      <c r="C9" s="155" t="n"/>
      <c r="D9" s="78">
        <f>($D$5-$D$6)/$D$7</f>
        <v/>
      </c>
      <c r="E9" s="162" t="inlineStr">
        <is>
          <t>Projected NOAA μ</t>
        </is>
      </c>
      <c r="F9" s="154" t="n"/>
      <c r="G9" s="155" t="n"/>
      <c r="H9" s="70">
        <f>$D$6+$D$7*$H$8</f>
        <v/>
      </c>
      <c r="I9" s="162" t="inlineStr">
        <is>
          <t>Members breaching record</t>
        </is>
      </c>
      <c r="J9" s="154" t="n"/>
      <c r="K9" s="155" t="n"/>
      <c r="L9" s="68" t="inlineStr">
        <is>
          <t>37/51</t>
        </is>
      </c>
      <c r="M9" s="162" t="inlineStr">
        <is>
          <t>Settled</t>
        </is>
      </c>
      <c r="N9" s="154" t="n"/>
      <c r="O9" s="154" t="n"/>
      <c r="P9" s="155" t="n"/>
      <c r="Q9" s="69" t="n"/>
    </row>
    <row r="10">
      <c r="A10" s="162" t="inlineStr">
        <is>
          <t>σ_f  at k</t>
        </is>
      </c>
      <c r="B10" s="154" t="n"/>
      <c r="C10" s="155" t="n"/>
      <c r="D10" s="73">
        <f>IFERROR(INDEX($F$57:$F$88,MATCH($H$4,$E$57:$E$88,0)),$D$8)</f>
        <v/>
      </c>
      <c r="E10" s="162" t="inlineStr">
        <is>
          <t>P(YES) — sheet</t>
        </is>
      </c>
      <c r="F10" s="154" t="n"/>
      <c r="G10" s="155" t="n"/>
      <c r="H10" s="79">
        <f>1-NORMDIST($D$5,$H$9,$D$11,TRUE)</f>
        <v/>
      </c>
      <c r="I10" s="162" t="inlineStr">
        <is>
          <t>Ensemble P(YES)</t>
        </is>
      </c>
      <c r="J10" s="154" t="n"/>
      <c r="K10" s="155" t="n"/>
      <c r="L10" s="80" t="n">
        <v>0.5656</v>
      </c>
      <c r="M10" s="162" t="inlineStr">
        <is>
          <t>Payout $</t>
        </is>
      </c>
      <c r="N10" s="154" t="n"/>
      <c r="O10" s="154" t="n"/>
      <c r="P10" s="155" t="n"/>
      <c r="Q10" s="76">
        <f>IF(OR($Q$9="",$Q$4=""),"",IF(UPPER($Q$9)=UPPER($Q$4),$Q$5,0))</f>
        <v/>
      </c>
    </row>
    <row r="11">
      <c r="A11" s="162" t="inlineStr">
        <is>
          <t>σ total</t>
        </is>
      </c>
      <c r="B11" s="154" t="n"/>
      <c r="C11" s="155" t="n"/>
      <c r="D11" s="73">
        <f>SQRT(($D$7*$D$10)^2+$D$8^2)</f>
        <v/>
      </c>
      <c r="E11" s="162" t="inlineStr">
        <is>
          <t>P(YES) — pipeline</t>
        </is>
      </c>
      <c r="F11" s="154" t="n"/>
      <c r="G11" s="155" t="n"/>
      <c r="H11" s="80" t="n">
        <v>0.5656</v>
      </c>
      <c r="I11" s="162" t="inlineStr">
        <is>
          <t>dev3 (latest)</t>
        </is>
      </c>
      <c r="J11" s="154" t="n"/>
      <c r="K11" s="155" t="n"/>
      <c r="L11" s="71">
        <f>IFERROR(LOOKUP(9.99E+307,$E$18:$E$52),"")</f>
        <v/>
      </c>
      <c r="M11" s="163" t="inlineStr">
        <is>
          <t>Realised P&amp;L $</t>
        </is>
      </c>
      <c r="N11" s="154" t="n"/>
      <c r="O11" s="154" t="n"/>
      <c r="P11" s="155" t="n"/>
      <c r="Q11" s="76">
        <f>IF($Q$10="","",$Q$10-$Q$7-IF($Q$8="",0,$Q$8))</f>
        <v/>
      </c>
    </row>
    <row r="12">
      <c r="A12" s="162" t="inlineStr">
        <is>
          <t>Fit check</t>
        </is>
      </c>
      <c r="B12" s="154" t="n"/>
      <c r="C12" s="155" t="n"/>
      <c r="D12" s="68">
        <f>IF(AND(ABS(SLOPE($C$57:$C$92,$B$57:$B$92)-$D$7)&lt;0.0005,ABS(INTERCEPT($C$57:$C$92,$B$57:$B$92)-$D$6)&lt;0.0005,ABS(STEYX($C$57:$C$92,$B$57:$B$92)-$D$8)&lt;0.0005),"OK","DRIFT")</f>
        <v/>
      </c>
      <c r="E12" s="163" t="inlineStr">
        <is>
          <t>P(YES) used</t>
        </is>
      </c>
      <c r="F12" s="154" t="n"/>
      <c r="G12" s="155" t="n"/>
      <c r="H12" s="79">
        <f>IF($H$11="",$H$10,$H$11)</f>
        <v/>
      </c>
      <c r="I12" s="162" t="inlineStr">
        <is>
          <t>Spike signal</t>
        </is>
      </c>
      <c r="J12" s="154" t="n"/>
      <c r="K12" s="155" t="n"/>
      <c r="L12" s="68">
        <f>IF($L$11="","",IF($L$11&gt;0.05,"WARM · YES↑",IF($L$11&lt;-0.05,"COLD · YES↓","quiet")))</f>
        <v/>
      </c>
      <c r="M12" s="163" t="inlineStr">
        <is>
          <t>ROI %</t>
        </is>
      </c>
      <c r="N12" s="154" t="n"/>
      <c r="O12" s="154" t="n"/>
      <c r="P12" s="155" t="n"/>
      <c r="Q12" s="79">
        <f>IF(OR($Q$11="",$Q$7=""),"",$Q$11/$Q$7)</f>
        <v/>
      </c>
    </row>
    <row r="13">
      <c r="A13" s="162" t="inlineStr">
        <is>
          <t>GISTEMP record</t>
        </is>
      </c>
      <c r="B13" s="154" t="n"/>
      <c r="C13" s="155" t="n"/>
      <c r="D13" s="66" t="n">
        <v>1.3</v>
      </c>
      <c r="E13" s="163" t="inlineStr">
        <is>
          <t>Fair NO ¢</t>
        </is>
      </c>
      <c r="F13" s="154" t="n"/>
      <c r="G13" s="155" t="n"/>
      <c r="H13" s="81">
        <f>100*(1-$H$12)</f>
        <v/>
      </c>
      <c r="I13" s="162" t="inlineStr">
        <is>
          <t>Bias — 2026 mean residual</t>
        </is>
      </c>
      <c r="J13" s="154" t="n"/>
      <c r="K13" s="155" t="n"/>
      <c r="L13" s="82" t="n">
        <v>0.0224</v>
      </c>
      <c r="M13" s="162" t="inlineStr">
        <is>
          <t>Risk cap $ / market</t>
        </is>
      </c>
      <c r="N13" s="154" t="n"/>
      <c r="O13" s="154" t="n"/>
      <c r="P13" s="155" t="n"/>
      <c r="Q13" s="83" t="n">
        <v>300</v>
      </c>
    </row>
    <row r="14">
      <c r="A14" s="162" t="inlineStr">
        <is>
          <t>GISTEMP threshold</t>
        </is>
      </c>
      <c r="B14" s="154" t="n"/>
      <c r="C14" s="155" t="n"/>
      <c r="D14" s="70" t="n">
        <v>1.305</v>
      </c>
      <c r="E14" s="163" t="inlineStr">
        <is>
          <t>Edge on NO ¢</t>
        </is>
      </c>
      <c r="F14" s="154" t="n"/>
      <c r="G14" s="155" t="n"/>
      <c r="H14" s="81">
        <f>IF(COUNT($L$18:$L$52)=0,"",LOOKUP(9.99E+307,$L$18:$L$52)-100*$H$12)</f>
        <v/>
      </c>
      <c r="I14" s="162" t="inlineStr">
        <is>
          <t>Apply bias to μ?</t>
        </is>
      </c>
      <c r="J14" s="154" t="n"/>
      <c r="K14" s="155" t="n"/>
      <c r="L14" s="84" t="inlineStr">
        <is>
          <t>N</t>
        </is>
      </c>
      <c r="M14" s="162" t="inlineStr">
        <is>
          <t>Book depth at touch $</t>
        </is>
      </c>
      <c r="N14" s="154" t="n"/>
      <c r="O14" s="154" t="n"/>
      <c r="P14" s="155" t="n"/>
      <c r="Q14" s="77" t="n"/>
    </row>
    <row r="15">
      <c r="A15" s="162" t="inlineStr">
        <is>
          <t>ONI (CPC)</t>
        </is>
      </c>
      <c r="B15" s="154" t="n"/>
      <c r="C15" s="155" t="n"/>
      <c r="D15" s="74" t="n">
        <v>1</v>
      </c>
      <c r="E15" s="163" t="inlineStr">
        <is>
          <t>Verdict</t>
        </is>
      </c>
      <c r="F15" s="154" t="n"/>
      <c r="G15" s="155" t="n"/>
      <c r="H15" s="68">
        <f>IF($H$14="","",IF($H$14&gt;=3,"NO CHEAP",IF($H$14&lt;=-3,"NO RICH","FAIR")))</f>
        <v/>
      </c>
      <c r="I15" s="162" t="inlineStr">
        <is>
          <t>μ with bias</t>
        </is>
      </c>
      <c r="J15" s="154" t="n"/>
      <c r="K15" s="155" t="n"/>
      <c r="L15" s="70">
        <f>IF(UPPER($L$14)="Y",$H$9+$L$13,$H$9)</f>
        <v/>
      </c>
      <c r="M15" s="162" t="inlineStr">
        <is>
          <t>Exposure vs cap</t>
        </is>
      </c>
      <c r="N15" s="154" t="n"/>
      <c r="O15" s="154" t="n"/>
      <c r="P15" s="155" t="n"/>
      <c r="Q15" s="79">
        <f>IF($Q$7="","",$Q$7/$Q$13)</f>
        <v/>
      </c>
    </row>
    <row r="17">
      <c r="A17" s="85" t="inlineStr">
        <is>
          <t>Date</t>
        </is>
      </c>
      <c r="B17" s="85" t="inlineStr">
        <is>
          <t>Actual °C</t>
        </is>
      </c>
      <c r="C17" s="65" t="inlineStr">
        <is>
          <t>Expectation</t>
        </is>
      </c>
      <c r="D17" s="85" t="inlineStr">
        <is>
          <t>Dev</t>
        </is>
      </c>
      <c r="E17" s="85" t="inlineStr">
        <is>
          <t>Dev3</t>
        </is>
      </c>
      <c r="F17" s="85" t="inlineStr">
        <is>
          <t>MTD mean</t>
        </is>
      </c>
      <c r="G17" s="85" t="inlineStr">
        <is>
          <t>2024</t>
        </is>
      </c>
      <c r="H17" s="85" t="inlineStr">
        <is>
          <t>2023</t>
        </is>
      </c>
      <c r="I17" s="85" t="inlineStr">
        <is>
          <t>Needed</t>
        </is>
      </c>
      <c r="J17" s="85" t="inlineStr">
        <is>
          <t>P(YES)</t>
        </is>
      </c>
      <c r="K17" s="85" t="inlineStr">
        <is>
          <t>Fair NO</t>
        </is>
      </c>
      <c r="L17" s="85" t="inlineStr">
        <is>
          <t>Mkt YES</t>
        </is>
      </c>
      <c r="M17" s="85" t="inlineStr">
        <is>
          <t>Edge</t>
        </is>
      </c>
      <c r="N17" s="85" t="inlineStr">
        <is>
          <t>Volume</t>
        </is>
      </c>
      <c r="O17" s="85" t="inlineStr">
        <is>
          <t>Open int</t>
        </is>
      </c>
      <c r="P17" s="85" t="inlineStr">
        <is>
          <t>Signal</t>
        </is>
      </c>
      <c r="Q17" s="85" t="inlineStr">
        <is>
          <t>Note</t>
        </is>
      </c>
      <c r="R17" s="85" t="inlineStr">
        <is>
          <t>Pace</t>
        </is>
      </c>
      <c r="S17" s="85" t="inlineStr">
        <is>
          <t>Model ¢</t>
        </is>
      </c>
    </row>
    <row r="18">
      <c r="A18" s="86" t="inlineStr">
        <is>
          <t>Jul 28</t>
        </is>
      </c>
      <c r="B18" s="87" t="n">
        <v>0.748</v>
      </c>
      <c r="C18" s="87" t="n"/>
      <c r="D18" s="88">
        <f>IF(OR($B18="",$C18=""),"",$B18-$C18)</f>
        <v/>
      </c>
      <c r="E18" s="88">
        <f>IF(COUNT($D16:$D18)&lt;3,"",AVERAGE($D16:$D18))</f>
        <v/>
      </c>
      <c r="F18" s="88" t="n"/>
      <c r="G18" s="88" t="n">
        <v>0.788</v>
      </c>
      <c r="H18" s="88" t="n">
        <v>0.708</v>
      </c>
      <c r="I18" s="88" t="n"/>
      <c r="J18" s="89" t="n"/>
      <c r="K18" s="90">
        <f>IF($J18="","",100*(1-$J18))</f>
        <v/>
      </c>
      <c r="L18" s="91" t="n">
        <v>8</v>
      </c>
      <c r="M18" s="90">
        <f>IF(OR($J18="",$L18=""),"",$L18-100*$J18)</f>
        <v/>
      </c>
      <c r="N18" s="92" t="n">
        <v>415.99</v>
      </c>
      <c r="O18" s="92" t="n">
        <v>415.99</v>
      </c>
      <c r="P18" s="93">
        <f>IF($E18="","",IF($E18&gt;0.05,"WARM dev3 — spike risk UP",IF($E18&lt;-0.05,"COLD dev3 — spike risk DOWN","")))</f>
        <v/>
      </c>
      <c r="Q18" s="94" t="n"/>
      <c r="R18" s="88" t="n"/>
      <c r="S18" s="90">
        <f>IF($J18="","",$J18*100)</f>
        <v/>
      </c>
    </row>
    <row r="19">
      <c r="A19" s="86" t="inlineStr">
        <is>
          <t>Jul 29</t>
        </is>
      </c>
      <c r="B19" s="87" t="n">
        <v>0.708</v>
      </c>
      <c r="C19" s="87" t="n"/>
      <c r="D19" s="88">
        <f>IF(OR($B19="",$C19=""),"",$B19-$C19)</f>
        <v/>
      </c>
      <c r="E19" s="88">
        <f>IF(COUNT($D17:$D19)&lt;3,"",AVERAGE($D17:$D19))</f>
        <v/>
      </c>
      <c r="F19" s="88" t="n"/>
      <c r="G19" s="88" t="n">
        <v>0.749</v>
      </c>
      <c r="H19" s="88" t="n">
        <v>0.6860000000000001</v>
      </c>
      <c r="I19" s="88" t="n"/>
      <c r="J19" s="89" t="n"/>
      <c r="K19" s="90">
        <f>IF($J19="","",100*(1-$J19))</f>
        <v/>
      </c>
      <c r="L19" s="91" t="n">
        <v>19</v>
      </c>
      <c r="M19" s="90">
        <f>IF(OR($J19="",$L19=""),"",$L19-100*$J19)</f>
        <v/>
      </c>
      <c r="N19" s="92" t="n">
        <v>148.76</v>
      </c>
      <c r="O19" s="92" t="n">
        <v>564.75</v>
      </c>
      <c r="P19" s="93">
        <f>IF($E19="","",IF($E19&gt;0.05,"WARM dev3 — spike risk UP",IF($E19&lt;-0.05,"COLD dev3 — spike risk DOWN","")))</f>
        <v/>
      </c>
      <c r="Q19" s="94" t="n"/>
      <c r="R19" s="88" t="n"/>
      <c r="S19" s="90">
        <f>IF($J19="","",$J19*100)</f>
        <v/>
      </c>
    </row>
    <row r="20">
      <c r="A20" s="86" t="inlineStr">
        <is>
          <t>Jul 30</t>
        </is>
      </c>
      <c r="B20" s="87" t="n">
        <v>0.6879999999999999</v>
      </c>
      <c r="C20" s="87" t="n"/>
      <c r="D20" s="88">
        <f>IF(OR($B20="",$C20=""),"",$B20-$C20)</f>
        <v/>
      </c>
      <c r="E20" s="88">
        <f>IF(COUNT($D18:$D20)&lt;3,"",AVERAGE($D18:$D20))</f>
        <v/>
      </c>
      <c r="F20" s="88" t="n"/>
      <c r="G20" s="88" t="n">
        <v>0.721</v>
      </c>
      <c r="H20" s="88" t="n">
        <v>0.6919999999999999</v>
      </c>
      <c r="I20" s="88" t="n"/>
      <c r="J20" s="89" t="n"/>
      <c r="K20" s="90">
        <f>IF($J20="","",100*(1-$J20))</f>
        <v/>
      </c>
      <c r="L20" s="91" t="n">
        <v>48</v>
      </c>
      <c r="M20" s="90">
        <f>IF(OR($J20="",$L20=""),"",$L20-100*$J20)</f>
        <v/>
      </c>
      <c r="N20" s="92" t="n">
        <v>345.7</v>
      </c>
      <c r="O20" s="92" t="n">
        <v>880.6900000000001</v>
      </c>
      <c r="P20" s="93">
        <f>IF($E20="","",IF($E20&gt;0.05,"WARM dev3 — spike risk UP",IF($E20&lt;-0.05,"COLD dev3 — spike risk DOWN","")))</f>
        <v/>
      </c>
      <c r="Q20" s="94" t="n"/>
      <c r="R20" s="88" t="n"/>
      <c r="S20" s="90">
        <f>IF($J20="","",$J20*100)</f>
        <v/>
      </c>
    </row>
    <row r="21">
      <c r="A21" s="86" t="inlineStr">
        <is>
          <t>Jul 31</t>
        </is>
      </c>
      <c r="B21" s="87" t="n">
        <v>0.712</v>
      </c>
      <c r="C21" s="87" t="n"/>
      <c r="D21" s="88">
        <f>IF(OR($B21="",$C21=""),"",$B21-$C21)</f>
        <v/>
      </c>
      <c r="E21" s="88">
        <f>IF(COUNT($D19:$D21)&lt;3,"",AVERAGE($D19:$D21))</f>
        <v/>
      </c>
      <c r="F21" s="88" t="n"/>
      <c r="G21" s="88" t="n">
        <v>0.72</v>
      </c>
      <c r="H21" s="88" t="n">
        <v>0.667</v>
      </c>
      <c r="I21" s="88" t="n"/>
      <c r="J21" s="89" t="n"/>
      <c r="K21" s="90">
        <f>IF($J21="","",100*(1-$J21))</f>
        <v/>
      </c>
      <c r="L21" s="91" t="n">
        <v>49</v>
      </c>
      <c r="M21" s="90">
        <f>IF(OR($J21="",$L21=""),"",$L21-100*$J21)</f>
        <v/>
      </c>
      <c r="N21" s="92" t="n">
        <v>605.87</v>
      </c>
      <c r="O21" s="92" t="n">
        <v>948.14</v>
      </c>
      <c r="P21" s="93">
        <f>IF($E21="","",IF($E21&gt;0.05,"WARM dev3 — spike risk UP",IF($E21&lt;-0.05,"COLD dev3 — spike risk DOWN","")))</f>
        <v/>
      </c>
      <c r="Q21" s="94" t="n"/>
      <c r="R21" s="88" t="n"/>
      <c r="S21" s="90">
        <f>IF($J21="","",$J21*100)</f>
        <v/>
      </c>
    </row>
    <row r="22">
      <c r="A22" s="95" t="inlineStr">
        <is>
          <t>Aug 01</t>
        </is>
      </c>
      <c r="B22" s="96" t="n">
        <v>0.711</v>
      </c>
      <c r="C22" s="96" t="n">
        <v>0.6278</v>
      </c>
      <c r="D22" s="97">
        <f>IF(OR($B22="",$C22=""),"",$B22-$C22)</f>
        <v/>
      </c>
      <c r="E22" s="97">
        <f>IF(COUNT($D20:$D22)&lt;3,"",AVERAGE($D20:$D22))</f>
        <v/>
      </c>
      <c r="F22" s="97">
        <f>IF($B22="","",AVERAGE($B$22:$B22))</f>
        <v/>
      </c>
      <c r="G22" s="97" t="n">
        <v>0.729</v>
      </c>
      <c r="H22" s="97" t="n">
        <v>0.735</v>
      </c>
      <c r="I22" s="97">
        <f>IF(OR($B22="",1&gt;=31),"",($D$9*31-SUM($B$22:$B22))/(31-1))</f>
        <v/>
      </c>
      <c r="J22" s="98">
        <f>IF($B22="","",1-NORMDIST($D$5,$D$6+$D$7*((SUM($B$22:$B22)+(31-1)*$H$7)/31),$D$11,TRUE))</f>
        <v/>
      </c>
      <c r="K22" s="99">
        <f>IF($J22="","",100*(1-$J22))</f>
        <v/>
      </c>
      <c r="L22" s="100" t="n">
        <v>61</v>
      </c>
      <c r="M22" s="99">
        <f>IF(OR($J22="",$L22=""),"",$L22-100*$J22)</f>
        <v/>
      </c>
      <c r="N22" s="101" t="n">
        <v>705.96</v>
      </c>
      <c r="O22" s="101" t="n">
        <v>1582.2</v>
      </c>
      <c r="P22" s="102">
        <f>IF($E22="","",IF($E22&gt;0.05,"WARM dev3 — spike risk UP",IF($E22&lt;-0.05,"COLD dev3 — spike risk DOWN","")))</f>
        <v/>
      </c>
      <c r="Q22" s="103" t="n"/>
      <c r="R22" s="97">
        <f>$D$9</f>
        <v/>
      </c>
      <c r="S22" s="99">
        <f>IF($J22="","",$J22*100)</f>
        <v/>
      </c>
    </row>
    <row r="23">
      <c r="A23" s="95" t="inlineStr">
        <is>
          <t>Aug 02</t>
        </is>
      </c>
      <c r="B23" s="96" t="n">
        <v>0.706</v>
      </c>
      <c r="C23" s="96" t="n">
        <v>0.5856</v>
      </c>
      <c r="D23" s="97">
        <f>IF(OR($B23="",$C23=""),"",$B23-$C23)</f>
        <v/>
      </c>
      <c r="E23" s="97">
        <f>IF(COUNT($D21:$D23)&lt;3,"",AVERAGE($D21:$D23))</f>
        <v/>
      </c>
      <c r="F23" s="97">
        <f>IF($B23="","",AVERAGE($B$22:$B23))</f>
        <v/>
      </c>
      <c r="G23" s="97" t="n">
        <v>0.7554999999999999</v>
      </c>
      <c r="H23" s="97" t="n">
        <v>0.746</v>
      </c>
      <c r="I23" s="97">
        <f>IF(OR($B23="",2&gt;=31),"",($D$9*31-SUM($B$22:$B23))/(31-2))</f>
        <v/>
      </c>
      <c r="J23" s="98">
        <f>IF($B23="","",1-NORMDIST($D$5,$D$6+$D$7*((SUM($B$22:$B23)+(31-2)*$H$7)/31),$D$11,TRUE))</f>
        <v/>
      </c>
      <c r="K23" s="99">
        <f>IF($J23="","",100*(1-$J23))</f>
        <v/>
      </c>
      <c r="L23" s="100" t="n">
        <v>41</v>
      </c>
      <c r="M23" s="99">
        <f>IF(OR($J23="",$L23=""),"",$L23-100*$J23)</f>
        <v/>
      </c>
      <c r="N23" s="101" t="n">
        <v>873.55</v>
      </c>
      <c r="O23" s="101" t="n">
        <v>1854.83</v>
      </c>
      <c r="P23" s="102">
        <f>IF($E23="","",IF($E23&gt;0.05,"WARM dev3 — spike risk UP",IF($E23&lt;-0.05,"COLD dev3 — spike risk DOWN","")))</f>
        <v/>
      </c>
      <c r="Q23" s="103" t="n"/>
      <c r="R23" s="97">
        <f>$D$9</f>
        <v/>
      </c>
      <c r="S23" s="99">
        <f>IF($J23="","",$J23*100)</f>
        <v/>
      </c>
    </row>
    <row r="24">
      <c r="A24" s="95" t="inlineStr">
        <is>
          <t>Aug 03</t>
        </is>
      </c>
      <c r="B24" s="96" t="n">
        <v>0.6820000000000001</v>
      </c>
      <c r="C24" s="96" t="n">
        <v>0.5709</v>
      </c>
      <c r="D24" s="97">
        <f>IF(OR($B24="",$C24=""),"",$B24-$C24)</f>
        <v/>
      </c>
      <c r="E24" s="97">
        <f>IF(COUNT($D22:$D24)&lt;3,"",AVERAGE($D22:$D24))</f>
        <v/>
      </c>
      <c r="F24" s="97">
        <f>IF($B24="","",AVERAGE($B$22:$B24))</f>
        <v/>
      </c>
      <c r="G24" s="97" t="n">
        <v>0.776</v>
      </c>
      <c r="H24" s="97" t="n">
        <v>0.756</v>
      </c>
      <c r="I24" s="97">
        <f>IF(OR($B24="",3&gt;=31),"",($D$9*31-SUM($B$22:$B24))/(31-3))</f>
        <v/>
      </c>
      <c r="J24" s="98">
        <f>IF($B24="","",1-NORMDIST($D$5,$D$6+$D$7*((SUM($B$22:$B24)+(31-3)*$H$7)/31),$D$11,TRUE))</f>
        <v/>
      </c>
      <c r="K24" s="99">
        <f>IF($J24="","",100*(1-$J24))</f>
        <v/>
      </c>
      <c r="L24" s="100" t="n">
        <v>40</v>
      </c>
      <c r="M24" s="99">
        <f>IF(OR($J24="",$L24=""),"",$L24-100*$J24)</f>
        <v/>
      </c>
      <c r="N24" s="101" t="n">
        <v>240.17</v>
      </c>
      <c r="O24" s="101" t="n">
        <v>2002.83</v>
      </c>
      <c r="P24" s="102">
        <f>IF($E24="","",IF($E24&gt;0.05,"WARM dev3 — spike risk UP",IF($E24&lt;-0.05,"COLD dev3 — spike risk DOWN","")))</f>
        <v/>
      </c>
      <c r="Q24" s="103" t="n"/>
      <c r="R24" s="97">
        <f>$D$9</f>
        <v/>
      </c>
      <c r="S24" s="99">
        <f>IF($J24="","",$J24*100)</f>
        <v/>
      </c>
    </row>
    <row r="25">
      <c r="A25" s="95" t="inlineStr">
        <is>
          <t>Aug 04</t>
        </is>
      </c>
      <c r="B25" s="96" t="n"/>
      <c r="C25" s="96" t="n">
        <v>0.6205000000000001</v>
      </c>
      <c r="D25" s="97">
        <f>IF(OR($B25="",$C25=""),"",$B25-$C25)</f>
        <v/>
      </c>
      <c r="E25" s="97">
        <f>IF(COUNT($D23:$D25)&lt;3,"",AVERAGE($D23:$D25))</f>
        <v/>
      </c>
      <c r="F25" s="97">
        <f>IF($B25="","",AVERAGE($B$22:$B25))</f>
        <v/>
      </c>
      <c r="G25" s="97" t="n">
        <v>0.7805</v>
      </c>
      <c r="H25" s="97" t="n">
        <v>0.7658</v>
      </c>
      <c r="I25" s="97">
        <f>IF(OR($B25="",4&gt;=31),"",($D$9*31-SUM($B$22:$B25))/(31-4))</f>
        <v/>
      </c>
      <c r="J25" s="98">
        <f>IF($B25="","",1-NORMDIST($D$5,$D$6+$D$7*((SUM($B$22:$B25)+(31-4)*$H$7)/31),$D$11,TRUE))</f>
        <v/>
      </c>
      <c r="K25" s="99">
        <f>IF($J25="","",100*(1-$J25))</f>
        <v/>
      </c>
      <c r="L25" s="100" t="n">
        <v>42</v>
      </c>
      <c r="M25" s="99">
        <f>IF(OR($J25="",$L25=""),"",$L25-100*$J25)</f>
        <v/>
      </c>
      <c r="N25" s="101" t="n">
        <v>454.35</v>
      </c>
      <c r="O25" s="101" t="n">
        <v>1889.8</v>
      </c>
      <c r="P25" s="102">
        <f>IF($E25="","",IF($E25&gt;0.05,"WARM dev3 — spike risk UP",IF($E25&lt;-0.05,"COLD dev3 — spike risk DOWN","")))</f>
        <v/>
      </c>
      <c r="Q25" s="103" t="n"/>
      <c r="R25" s="97">
        <f>$D$9</f>
        <v/>
      </c>
      <c r="S25" s="99">
        <f>IF($J25="","",$J25*100)</f>
        <v/>
      </c>
    </row>
    <row r="26">
      <c r="A26" s="95" t="inlineStr">
        <is>
          <t>Aug 05</t>
        </is>
      </c>
      <c r="B26" s="96" t="n"/>
      <c r="C26" s="96" t="n">
        <v>0.6163999999999999</v>
      </c>
      <c r="D26" s="97">
        <f>IF(OR($B26="",$C26=""),"",$B26-$C26)</f>
        <v/>
      </c>
      <c r="E26" s="97">
        <f>IF(COUNT($D24:$D26)&lt;3,"",AVERAGE($D24:$D26))</f>
        <v/>
      </c>
      <c r="F26" s="97">
        <f>IF($B26="","",AVERAGE($B$22:$B26))</f>
        <v/>
      </c>
      <c r="G26" s="97" t="n">
        <v>0.7826</v>
      </c>
      <c r="H26" s="97" t="n">
        <v>0.7664</v>
      </c>
      <c r="I26" s="97">
        <f>IF(OR($B26="",5&gt;=31),"",($D$9*31-SUM($B$22:$B26))/(31-5))</f>
        <v/>
      </c>
      <c r="J26" s="98">
        <f>IF($B26="","",1-NORMDIST($D$5,$D$6+$D$7*((SUM($B$22:$B26)+(31-5)*$H$7)/31),$D$11,TRUE))</f>
        <v/>
      </c>
      <c r="K26" s="99">
        <f>IF($J26="","",100*(1-$J26))</f>
        <v/>
      </c>
      <c r="L26" s="100" t="n">
        <v>36</v>
      </c>
      <c r="M26" s="99">
        <f>IF(OR($J26="",$L26=""),"",$L26-100*$J26)</f>
        <v/>
      </c>
      <c r="N26" s="101" t="n">
        <v>203.19</v>
      </c>
      <c r="O26" s="101" t="n">
        <v>1880.61</v>
      </c>
      <c r="P26" s="102">
        <f>IF($E26="","",IF($E26&gt;0.05,"WARM dev3 — spike risk UP",IF($E26&lt;-0.05,"COLD dev3 — spike risk DOWN","")))</f>
        <v/>
      </c>
      <c r="Q26" s="103" t="n"/>
      <c r="R26" s="97">
        <f>$D$9</f>
        <v/>
      </c>
      <c r="S26" s="99">
        <f>IF($J26="","",$J26*100)</f>
        <v/>
      </c>
    </row>
    <row r="27">
      <c r="A27" s="95" t="inlineStr">
        <is>
          <t>Aug 06</t>
        </is>
      </c>
      <c r="B27" s="96" t="n"/>
      <c r="C27" s="96" t="n">
        <v>0.7613</v>
      </c>
      <c r="D27" s="97">
        <f>IF(OR($B27="",$C27=""),"",$B27-$C27)</f>
        <v/>
      </c>
      <c r="E27" s="97">
        <f>IF(COUNT($D25:$D27)&lt;3,"",AVERAGE($D25:$D27))</f>
        <v/>
      </c>
      <c r="F27" s="97">
        <f>IF($B27="","",AVERAGE($B$22:$B27))</f>
        <v/>
      </c>
      <c r="G27" s="97" t="n">
        <v>0.787</v>
      </c>
      <c r="H27" s="97" t="n">
        <v>0.7605</v>
      </c>
      <c r="I27" s="97">
        <f>IF(OR($B27="",6&gt;=31),"",($D$9*31-SUM($B$22:$B27))/(31-6))</f>
        <v/>
      </c>
      <c r="J27" s="98">
        <f>IF($B27="","",1-NORMDIST($D$5,$D$6+$D$7*((SUM($B$22:$B27)+(31-6)*$H$7)/31),$D$11,TRUE))</f>
        <v/>
      </c>
      <c r="K27" s="99">
        <f>IF($J27="","",100*(1-$J27))</f>
        <v/>
      </c>
      <c r="L27" s="100" t="n">
        <v>36</v>
      </c>
      <c r="M27" s="99">
        <f>IF(OR($J27="",$L27=""),"",$L27-100*$J27)</f>
        <v/>
      </c>
      <c r="N27" s="101" t="n">
        <v>116.25</v>
      </c>
      <c r="O27" s="101" t="n">
        <v>1925.01</v>
      </c>
      <c r="P27" s="102">
        <f>IF($E27="","",IF($E27&gt;0.05,"WARM dev3 — spike risk UP",IF($E27&lt;-0.05,"COLD dev3 — spike risk DOWN","")))</f>
        <v/>
      </c>
      <c r="Q27" s="103" t="n"/>
      <c r="R27" s="97">
        <f>$D$9</f>
        <v/>
      </c>
      <c r="S27" s="99">
        <f>IF($J27="","",$J27*100)</f>
        <v/>
      </c>
    </row>
    <row r="28">
      <c r="A28" s="95" t="inlineStr">
        <is>
          <t>Aug 07</t>
        </is>
      </c>
      <c r="B28" s="96" t="n"/>
      <c r="C28" s="96" t="n">
        <v>0.7431</v>
      </c>
      <c r="D28" s="97">
        <f>IF(OR($B28="",$C28=""),"",$B28-$C28)</f>
        <v/>
      </c>
      <c r="E28" s="97">
        <f>IF(COUNT($D26:$D28)&lt;3,"",AVERAGE($D26:$D28))</f>
        <v/>
      </c>
      <c r="F28" s="97">
        <f>IF($B28="","",AVERAGE($B$22:$B28))</f>
        <v/>
      </c>
      <c r="G28" s="97" t="n">
        <v>0.789</v>
      </c>
      <c r="H28" s="97" t="n">
        <v>0.7481</v>
      </c>
      <c r="I28" s="97">
        <f>IF(OR($B28="",7&gt;=31),"",($D$9*31-SUM($B$22:$B28))/(31-7))</f>
        <v/>
      </c>
      <c r="J28" s="98">
        <f>IF($B28="","",1-NORMDIST($D$5,$D$6+$D$7*((SUM($B$22:$B28)+(31-7)*$H$7)/31),$D$11,TRUE))</f>
        <v/>
      </c>
      <c r="K28" s="99">
        <f>IF($J28="","",100*(1-$J28))</f>
        <v/>
      </c>
      <c r="L28" s="100" t="n"/>
      <c r="M28" s="99">
        <f>IF(OR($J28="",$L28=""),"",$L28-100*$J28)</f>
        <v/>
      </c>
      <c r="N28" s="101" t="n"/>
      <c r="O28" s="101" t="n"/>
      <c r="P28" s="102">
        <f>IF($E28="","",IF($E28&gt;0.05,"WARM dev3 — spike risk UP",IF($E28&lt;-0.05,"COLD dev3 — spike risk DOWN","")))</f>
        <v/>
      </c>
      <c r="Q28" s="103" t="n"/>
      <c r="R28" s="97">
        <f>$D$9</f>
        <v/>
      </c>
      <c r="S28" s="99">
        <f>IF($J28="","",$J28*100)</f>
        <v/>
      </c>
    </row>
    <row r="29">
      <c r="A29" s="95" t="inlineStr">
        <is>
          <t>Aug 08</t>
        </is>
      </c>
      <c r="B29" s="96" t="n"/>
      <c r="C29" s="96" t="n">
        <v>0.7281</v>
      </c>
      <c r="D29" s="97">
        <f>IF(OR($B29="",$C29=""),"",$B29-$C29)</f>
        <v/>
      </c>
      <c r="E29" s="97">
        <f>IF(COUNT($D27:$D29)&lt;3,"",AVERAGE($D27:$D29))</f>
        <v/>
      </c>
      <c r="F29" s="97">
        <f>IF($B29="","",AVERAGE($B$22:$B29))</f>
        <v/>
      </c>
      <c r="G29" s="97" t="n">
        <v>0.7849</v>
      </c>
      <c r="H29" s="97" t="n">
        <v>0.7339</v>
      </c>
      <c r="I29" s="97">
        <f>IF(OR($B29="",8&gt;=31),"",($D$9*31-SUM($B$22:$B29))/(31-8))</f>
        <v/>
      </c>
      <c r="J29" s="98">
        <f>IF($B29="","",1-NORMDIST($D$5,$D$6+$D$7*((SUM($B$22:$B29)+(31-8)*$H$7)/31),$D$11,TRUE))</f>
        <v/>
      </c>
      <c r="K29" s="99">
        <f>IF($J29="","",100*(1-$J29))</f>
        <v/>
      </c>
      <c r="L29" s="100" t="n"/>
      <c r="M29" s="99">
        <f>IF(OR($J29="",$L29=""),"",$L29-100*$J29)</f>
        <v/>
      </c>
      <c r="N29" s="101" t="n"/>
      <c r="O29" s="101" t="n"/>
      <c r="P29" s="102">
        <f>IF($E29="","",IF($E29&gt;0.05,"WARM dev3 — spike risk UP",IF($E29&lt;-0.05,"COLD dev3 — spike risk DOWN","")))</f>
        <v/>
      </c>
      <c r="Q29" s="103" t="n"/>
      <c r="R29" s="97">
        <f>$D$9</f>
        <v/>
      </c>
      <c r="S29" s="99">
        <f>IF($J29="","",$J29*100)</f>
        <v/>
      </c>
    </row>
    <row r="30">
      <c r="A30" s="95" t="inlineStr">
        <is>
          <t>Aug 09</t>
        </is>
      </c>
      <c r="B30" s="96" t="n"/>
      <c r="C30" s="96" t="n">
        <v>0.7678</v>
      </c>
      <c r="D30" s="97">
        <f>IF(OR($B30="",$C30=""),"",$B30-$C30)</f>
        <v/>
      </c>
      <c r="E30" s="97">
        <f>IF(COUNT($D28:$D30)&lt;3,"",AVERAGE($D28:$D30))</f>
        <v/>
      </c>
      <c r="F30" s="97">
        <f>IF($B30="","",AVERAGE($B$22:$B30))</f>
        <v/>
      </c>
      <c r="G30" s="97" t="n">
        <v>0.7776999999999999</v>
      </c>
      <c r="H30" s="97" t="n">
        <v>0.7212</v>
      </c>
      <c r="I30" s="97">
        <f>IF(OR($B30="",9&gt;=31),"",($D$9*31-SUM($B$22:$B30))/(31-9))</f>
        <v/>
      </c>
      <c r="J30" s="98">
        <f>IF($B30="","",1-NORMDIST($D$5,$D$6+$D$7*((SUM($B$22:$B30)+(31-9)*$H$7)/31),$D$11,TRUE))</f>
        <v/>
      </c>
      <c r="K30" s="99">
        <f>IF($J30="","",100*(1-$J30))</f>
        <v/>
      </c>
      <c r="L30" s="100" t="n"/>
      <c r="M30" s="99">
        <f>IF(OR($J30="",$L30=""),"",$L30-100*$J30)</f>
        <v/>
      </c>
      <c r="N30" s="101" t="n"/>
      <c r="O30" s="101" t="n"/>
      <c r="P30" s="102">
        <f>IF($E30="","",IF($E30&gt;0.05,"WARM dev3 — spike risk UP",IF($E30&lt;-0.05,"COLD dev3 — spike risk DOWN","")))</f>
        <v/>
      </c>
      <c r="Q30" s="103" t="n"/>
      <c r="R30" s="97">
        <f>$D$9</f>
        <v/>
      </c>
      <c r="S30" s="99">
        <f>IF($J30="","",$J30*100)</f>
        <v/>
      </c>
    </row>
    <row r="31">
      <c r="A31" s="95" t="inlineStr">
        <is>
          <t>Aug 10</t>
        </is>
      </c>
      <c r="B31" s="96" t="n"/>
      <c r="C31" s="96" t="n">
        <v>0.7206</v>
      </c>
      <c r="D31" s="97">
        <f>IF(OR($B31="",$C31=""),"",$B31-$C31)</f>
        <v/>
      </c>
      <c r="E31" s="97">
        <f>IF(COUNT($D29:$D31)&lt;3,"",AVERAGE($D29:$D31))</f>
        <v/>
      </c>
      <c r="F31" s="97">
        <f>IF($B31="","",AVERAGE($B$22:$B31))</f>
        <v/>
      </c>
      <c r="G31" s="97" t="n">
        <v>0.766</v>
      </c>
      <c r="H31" s="97" t="n">
        <v>0.7112000000000001</v>
      </c>
      <c r="I31" s="97">
        <f>IF(OR($B31="",10&gt;=31),"",($D$9*31-SUM($B$22:$B31))/(31-10))</f>
        <v/>
      </c>
      <c r="J31" s="98">
        <f>IF($B31="","",1-NORMDIST($D$5,$D$6+$D$7*((SUM($B$22:$B31)+(31-10)*$H$7)/31),$D$11,TRUE))</f>
        <v/>
      </c>
      <c r="K31" s="99">
        <f>IF($J31="","",100*(1-$J31))</f>
        <v/>
      </c>
      <c r="L31" s="100" t="n"/>
      <c r="M31" s="99">
        <f>IF(OR($J31="",$L31=""),"",$L31-100*$J31)</f>
        <v/>
      </c>
      <c r="N31" s="101" t="n"/>
      <c r="O31" s="101" t="n"/>
      <c r="P31" s="102">
        <f>IF($E31="","",IF($E31&gt;0.05,"WARM dev3 — spike risk UP",IF($E31&lt;-0.05,"COLD dev3 — spike risk DOWN","")))</f>
        <v/>
      </c>
      <c r="Q31" s="103" t="n"/>
      <c r="R31" s="97">
        <f>$D$9</f>
        <v/>
      </c>
      <c r="S31" s="99">
        <f>IF($J31="","",$J31*100)</f>
        <v/>
      </c>
    </row>
    <row r="32">
      <c r="A32" s="95" t="inlineStr">
        <is>
          <t>Aug 11</t>
        </is>
      </c>
      <c r="B32" s="96" t="n"/>
      <c r="C32" s="96" t="n">
        <v>0.6784</v>
      </c>
      <c r="D32" s="97">
        <f>IF(OR($B32="",$C32=""),"",$B32-$C32)</f>
        <v/>
      </c>
      <c r="E32" s="97">
        <f>IF(COUNT($D30:$D32)&lt;3,"",AVERAGE($D30:$D32))</f>
        <v/>
      </c>
      <c r="F32" s="97">
        <f>IF($B32="","",AVERAGE($B$22:$B32))</f>
        <v/>
      </c>
      <c r="G32" s="97" t="n">
        <v>0.7538</v>
      </c>
      <c r="H32" s="97" t="n">
        <v>0.701</v>
      </c>
      <c r="I32" s="97">
        <f>IF(OR($B32="",11&gt;=31),"",($D$9*31-SUM($B$22:$B32))/(31-11))</f>
        <v/>
      </c>
      <c r="J32" s="98">
        <f>IF($B32="","",1-NORMDIST($D$5,$D$6+$D$7*((SUM($B$22:$B32)+(31-11)*$H$7)/31),$D$11,TRUE))</f>
        <v/>
      </c>
      <c r="K32" s="99">
        <f>IF($J32="","",100*(1-$J32))</f>
        <v/>
      </c>
      <c r="L32" s="100" t="n"/>
      <c r="M32" s="99">
        <f>IF(OR($J32="",$L32=""),"",$L32-100*$J32)</f>
        <v/>
      </c>
      <c r="N32" s="101" t="n"/>
      <c r="O32" s="101" t="n"/>
      <c r="P32" s="102">
        <f>IF($E32="","",IF($E32&gt;0.05,"WARM dev3 — spike risk UP",IF($E32&lt;-0.05,"COLD dev3 — spike risk DOWN","")))</f>
        <v/>
      </c>
      <c r="Q32" s="103" t="n"/>
      <c r="R32" s="97">
        <f>$D$9</f>
        <v/>
      </c>
      <c r="S32" s="99">
        <f>IF($J32="","",$J32*100)</f>
        <v/>
      </c>
    </row>
    <row r="33">
      <c r="A33" s="95" t="inlineStr">
        <is>
          <t>Aug 12</t>
        </is>
      </c>
      <c r="B33" s="96" t="n"/>
      <c r="C33" s="96" t="n">
        <v>0.6943</v>
      </c>
      <c r="D33" s="97">
        <f>IF(OR($B33="",$C33=""),"",$B33-$C33)</f>
        <v/>
      </c>
      <c r="E33" s="97">
        <f>IF(COUNT($D31:$D33)&lt;3,"",AVERAGE($D31:$D33))</f>
        <v/>
      </c>
      <c r="F33" s="97">
        <f>IF($B33="","",AVERAGE($B$22:$B33))</f>
        <v/>
      </c>
      <c r="G33" s="97" t="n">
        <v>0.7415</v>
      </c>
      <c r="H33" s="97" t="n">
        <v>0.6905</v>
      </c>
      <c r="I33" s="97">
        <f>IF(OR($B33="",12&gt;=31),"",($D$9*31-SUM($B$22:$B33))/(31-12))</f>
        <v/>
      </c>
      <c r="J33" s="98">
        <f>IF($B33="","",1-NORMDIST($D$5,$D$6+$D$7*((SUM($B$22:$B33)+(31-12)*$H$7)/31),$D$11,TRUE))</f>
        <v/>
      </c>
      <c r="K33" s="99">
        <f>IF($J33="","",100*(1-$J33))</f>
        <v/>
      </c>
      <c r="L33" s="100" t="n"/>
      <c r="M33" s="99">
        <f>IF(OR($J33="",$L33=""),"",$L33-100*$J33)</f>
        <v/>
      </c>
      <c r="N33" s="101" t="n"/>
      <c r="O33" s="101" t="n"/>
      <c r="P33" s="102">
        <f>IF($E33="","",IF($E33&gt;0.05,"WARM dev3 — spike risk UP",IF($E33&lt;-0.05,"COLD dev3 — spike risk DOWN","")))</f>
        <v/>
      </c>
      <c r="Q33" s="103" t="n"/>
      <c r="R33" s="97">
        <f>$D$9</f>
        <v/>
      </c>
      <c r="S33" s="99">
        <f>IF($J33="","",$J33*100)</f>
        <v/>
      </c>
    </row>
    <row r="34">
      <c r="A34" s="95" t="inlineStr">
        <is>
          <t>Aug 13</t>
        </is>
      </c>
      <c r="B34" s="96" t="n"/>
      <c r="C34" s="96" t="n">
        <v>0.7689</v>
      </c>
      <c r="D34" s="97">
        <f>IF(OR($B34="",$C34=""),"",$B34-$C34)</f>
        <v/>
      </c>
      <c r="E34" s="97">
        <f>IF(COUNT($D32:$D34)&lt;3,"",AVERAGE($D32:$D34))</f>
        <v/>
      </c>
      <c r="F34" s="97">
        <f>IF($B34="","",AVERAGE($B$22:$B34))</f>
        <v/>
      </c>
      <c r="G34" s="97" t="n">
        <v>0.7278</v>
      </c>
      <c r="H34" s="97" t="n">
        <v>0.6816</v>
      </c>
      <c r="I34" s="97">
        <f>IF(OR($B34="",13&gt;=31),"",($D$9*31-SUM($B$22:$B34))/(31-13))</f>
        <v/>
      </c>
      <c r="J34" s="98">
        <f>IF($B34="","",1-NORMDIST($D$5,$D$6+$D$7*((SUM($B$22:$B34)+(31-13)*$H$7)/31),$D$11,TRUE))</f>
        <v/>
      </c>
      <c r="K34" s="99">
        <f>IF($J34="","",100*(1-$J34))</f>
        <v/>
      </c>
      <c r="L34" s="100" t="n"/>
      <c r="M34" s="99">
        <f>IF(OR($J34="",$L34=""),"",$L34-100*$J34)</f>
        <v/>
      </c>
      <c r="N34" s="101" t="n"/>
      <c r="O34" s="101" t="n"/>
      <c r="P34" s="102">
        <f>IF($E34="","",IF($E34&gt;0.05,"WARM dev3 — spike risk UP",IF($E34&lt;-0.05,"COLD dev3 — spike risk DOWN","")))</f>
        <v/>
      </c>
      <c r="Q34" s="103" t="n"/>
      <c r="R34" s="97">
        <f>$D$9</f>
        <v/>
      </c>
      <c r="S34" s="99">
        <f>IF($J34="","",$J34*100)</f>
        <v/>
      </c>
    </row>
    <row r="35">
      <c r="A35" s="95" t="inlineStr">
        <is>
          <t>Aug 14</t>
        </is>
      </c>
      <c r="B35" s="96" t="n"/>
      <c r="C35" s="96" t="n">
        <v>0.6763</v>
      </c>
      <c r="D35" s="97">
        <f>IF(OR($B35="",$C35=""),"",$B35-$C35)</f>
        <v/>
      </c>
      <c r="E35" s="97">
        <f>IF(COUNT($D33:$D35)&lt;3,"",AVERAGE($D33:$D35))</f>
        <v/>
      </c>
      <c r="F35" s="97">
        <f>IF($B35="","",AVERAGE($B$22:$B35))</f>
        <v/>
      </c>
      <c r="G35" s="97" t="n">
        <v>0.7159</v>
      </c>
      <c r="H35" s="97" t="n">
        <v>0.6748</v>
      </c>
      <c r="I35" s="97">
        <f>IF(OR($B35="",14&gt;=31),"",($D$9*31-SUM($B$22:$B35))/(31-14))</f>
        <v/>
      </c>
      <c r="J35" s="98">
        <f>IF($B35="","",1-NORMDIST($D$5,$D$6+$D$7*((SUM($B$22:$B35)+(31-14)*$H$7)/31),$D$11,TRUE))</f>
        <v/>
      </c>
      <c r="K35" s="99">
        <f>IF($J35="","",100*(1-$J35))</f>
        <v/>
      </c>
      <c r="L35" s="100" t="n"/>
      <c r="M35" s="99">
        <f>IF(OR($J35="",$L35=""),"",$L35-100*$J35)</f>
        <v/>
      </c>
      <c r="N35" s="101" t="n"/>
      <c r="O35" s="101" t="n"/>
      <c r="P35" s="102">
        <f>IF($E35="","",IF($E35&gt;0.05,"WARM dev3 — spike risk UP",IF($E35&lt;-0.05,"COLD dev3 — spike risk DOWN","")))</f>
        <v/>
      </c>
      <c r="Q35" s="103" t="n"/>
      <c r="R35" s="97">
        <f>$D$9</f>
        <v/>
      </c>
      <c r="S35" s="99">
        <f>IF($J35="","",$J35*100)</f>
        <v/>
      </c>
    </row>
    <row r="36">
      <c r="A36" s="95" t="inlineStr">
        <is>
          <t>Aug 15</t>
        </is>
      </c>
      <c r="B36" s="96" t="n"/>
      <c r="C36" s="96" t="n">
        <v>0.6669</v>
      </c>
      <c r="D36" s="97">
        <f>IF(OR($B36="",$C36=""),"",$B36-$C36)</f>
        <v/>
      </c>
      <c r="E36" s="97">
        <f>IF(COUNT($D34:$D36)&lt;3,"",AVERAGE($D34:$D36))</f>
        <v/>
      </c>
      <c r="F36" s="97">
        <f>IF($B36="","",AVERAGE($B$22:$B36))</f>
        <v/>
      </c>
      <c r="G36" s="97" t="n">
        <v>0.7097</v>
      </c>
      <c r="H36" s="97" t="n">
        <v>0.6733</v>
      </c>
      <c r="I36" s="97">
        <f>IF(OR($B36="",15&gt;=31),"",($D$9*31-SUM($B$22:$B36))/(31-15))</f>
        <v/>
      </c>
      <c r="J36" s="98">
        <f>IF($B36="","",1-NORMDIST($D$5,$D$6+$D$7*((SUM($B$22:$B36)+(31-15)*$H$7)/31),$D$11,TRUE))</f>
        <v/>
      </c>
      <c r="K36" s="99">
        <f>IF($J36="","",100*(1-$J36))</f>
        <v/>
      </c>
      <c r="L36" s="100" t="n"/>
      <c r="M36" s="99">
        <f>IF(OR($J36="",$L36=""),"",$L36-100*$J36)</f>
        <v/>
      </c>
      <c r="N36" s="101" t="n"/>
      <c r="O36" s="101" t="n"/>
      <c r="P36" s="102">
        <f>IF($E36="","",IF($E36&gt;0.05,"WARM dev3 — spike risk UP",IF($E36&lt;-0.05,"COLD dev3 — spike risk DOWN","")))</f>
        <v/>
      </c>
      <c r="Q36" s="103" t="n"/>
      <c r="R36" s="97">
        <f>$D$9</f>
        <v/>
      </c>
      <c r="S36" s="99">
        <f>IF($J36="","",$J36*100)</f>
        <v/>
      </c>
    </row>
    <row r="37">
      <c r="A37" s="95" t="inlineStr">
        <is>
          <t>Aug 16</t>
        </is>
      </c>
      <c r="B37" s="96" t="n"/>
      <c r="C37" s="96" t="n">
        <v>0.7</v>
      </c>
      <c r="D37" s="97">
        <f>IF(OR($B37="",$C37=""),"",$B37-$C37)</f>
        <v/>
      </c>
      <c r="E37" s="97">
        <f>IF(COUNT($D35:$D37)&lt;3,"",AVERAGE($D35:$D37))</f>
        <v/>
      </c>
      <c r="F37" s="97">
        <f>IF($B37="","",AVERAGE($B$22:$B37))</f>
        <v/>
      </c>
      <c r="G37" s="97" t="n">
        <v>0.7083</v>
      </c>
      <c r="H37" s="97" t="n">
        <v>0.6742</v>
      </c>
      <c r="I37" s="97">
        <f>IF(OR($B37="",16&gt;=31),"",($D$9*31-SUM($B$22:$B37))/(31-16))</f>
        <v/>
      </c>
      <c r="J37" s="98">
        <f>IF($B37="","",1-NORMDIST($D$5,$D$6+$D$7*((SUM($B$22:$B37)+(31-16)*$H$7)/31),$D$11,TRUE))</f>
        <v/>
      </c>
      <c r="K37" s="99">
        <f>IF($J37="","",100*(1-$J37))</f>
        <v/>
      </c>
      <c r="L37" s="100" t="n"/>
      <c r="M37" s="99">
        <f>IF(OR($J37="",$L37=""),"",$L37-100*$J37)</f>
        <v/>
      </c>
      <c r="N37" s="101" t="n"/>
      <c r="O37" s="101" t="n"/>
      <c r="P37" s="102">
        <f>IF($E37="","",IF($E37&gt;0.05,"WARM dev3 — spike risk UP",IF($E37&lt;-0.05,"COLD dev3 — spike risk DOWN","")))</f>
        <v/>
      </c>
      <c r="Q37" s="103" t="n"/>
      <c r="R37" s="97">
        <f>$D$9</f>
        <v/>
      </c>
      <c r="S37" s="99">
        <f>IF($J37="","",$J37*100)</f>
        <v/>
      </c>
    </row>
    <row r="38">
      <c r="A38" s="95" t="inlineStr">
        <is>
          <t>Aug 17</t>
        </is>
      </c>
      <c r="B38" s="96" t="n"/>
      <c r="C38" s="96" t="n">
        <v>0.73</v>
      </c>
      <c r="D38" s="97">
        <f>IF(OR($B38="",$C38=""),"",$B38-$C38)</f>
        <v/>
      </c>
      <c r="E38" s="97">
        <f>IF(COUNT($D36:$D38)&lt;3,"",AVERAGE($D36:$D38))</f>
        <v/>
      </c>
      <c r="F38" s="97">
        <f>IF($B38="","",AVERAGE($B$22:$B38))</f>
        <v/>
      </c>
      <c r="G38" s="97" t="n">
        <v>0.7094</v>
      </c>
      <c r="H38" s="97" t="n">
        <v>0.6752</v>
      </c>
      <c r="I38" s="97">
        <f>IF(OR($B38="",17&gt;=31),"",($D$9*31-SUM($B$22:$B38))/(31-17))</f>
        <v/>
      </c>
      <c r="J38" s="98">
        <f>IF($B38="","",1-NORMDIST($D$5,$D$6+$D$7*((SUM($B$22:$B38)+(31-17)*$H$7)/31),$D$11,TRUE))</f>
        <v/>
      </c>
      <c r="K38" s="99">
        <f>IF($J38="","",100*(1-$J38))</f>
        <v/>
      </c>
      <c r="L38" s="100" t="n"/>
      <c r="M38" s="99">
        <f>IF(OR($J38="",$L38=""),"",$L38-100*$J38)</f>
        <v/>
      </c>
      <c r="N38" s="101" t="n"/>
      <c r="O38" s="101" t="n"/>
      <c r="P38" s="102">
        <f>IF($E38="","",IF($E38&gt;0.05,"WARM dev3 — spike risk UP",IF($E38&lt;-0.05,"COLD dev3 — spike risk DOWN","")))</f>
        <v/>
      </c>
      <c r="Q38" s="103" t="n"/>
      <c r="R38" s="97">
        <f>$D$9</f>
        <v/>
      </c>
      <c r="S38" s="99">
        <f>IF($J38="","",$J38*100)</f>
        <v/>
      </c>
    </row>
    <row r="39">
      <c r="A39" s="95" t="inlineStr">
        <is>
          <t>Aug 18</t>
        </is>
      </c>
      <c r="B39" s="96" t="n"/>
      <c r="C39" s="96" t="n">
        <v>0.7529</v>
      </c>
      <c r="D39" s="97">
        <f>IF(OR($B39="",$C39=""),"",$B39-$C39)</f>
        <v/>
      </c>
      <c r="E39" s="97">
        <f>IF(COUNT($D37:$D39)&lt;3,"",AVERAGE($D37:$D39))</f>
        <v/>
      </c>
      <c r="F39" s="97">
        <f>IF($B39="","",AVERAGE($B$22:$B39))</f>
        <v/>
      </c>
      <c r="G39" s="97" t="n">
        <v>0.7133</v>
      </c>
      <c r="H39" s="97" t="n">
        <v>0.6767</v>
      </c>
      <c r="I39" s="97">
        <f>IF(OR($B39="",18&gt;=31),"",($D$9*31-SUM($B$22:$B39))/(31-18))</f>
        <v/>
      </c>
      <c r="J39" s="98">
        <f>IF($B39="","",1-NORMDIST($D$5,$D$6+$D$7*((SUM($B$22:$B39)+(31-18)*$H$7)/31),$D$11,TRUE))</f>
        <v/>
      </c>
      <c r="K39" s="99">
        <f>IF($J39="","",100*(1-$J39))</f>
        <v/>
      </c>
      <c r="L39" s="100" t="n"/>
      <c r="M39" s="99">
        <f>IF(OR($J39="",$L39=""),"",$L39-100*$J39)</f>
        <v/>
      </c>
      <c r="N39" s="101" t="n"/>
      <c r="O39" s="101" t="n"/>
      <c r="P39" s="102">
        <f>IF($E39="","",IF($E39&gt;0.05,"WARM dev3 — spike risk UP",IF($E39&lt;-0.05,"COLD dev3 — spike risk DOWN","")))</f>
        <v/>
      </c>
      <c r="Q39" s="103" t="n"/>
      <c r="R39" s="97">
        <f>$D$9</f>
        <v/>
      </c>
      <c r="S39" s="99">
        <f>IF($J39="","",$J39*100)</f>
        <v/>
      </c>
    </row>
    <row r="40">
      <c r="A40" s="95" t="inlineStr">
        <is>
          <t>Aug 19</t>
        </is>
      </c>
      <c r="B40" s="96" t="n"/>
      <c r="C40" s="96" t="n"/>
      <c r="D40" s="97">
        <f>IF(OR($B40="",$C40=""),"",$B40-$C40)</f>
        <v/>
      </c>
      <c r="E40" s="97">
        <f>IF(COUNT($D38:$D40)&lt;3,"",AVERAGE($D38:$D40))</f>
        <v/>
      </c>
      <c r="F40" s="97">
        <f>IF($B40="","",AVERAGE($B$22:$B40))</f>
        <v/>
      </c>
      <c r="G40" s="97" t="n">
        <v>0.7181</v>
      </c>
      <c r="H40" s="97" t="n">
        <v>0.6763</v>
      </c>
      <c r="I40" s="97">
        <f>IF(OR($B40="",19&gt;=31),"",($D$9*31-SUM($B$22:$B40))/(31-19))</f>
        <v/>
      </c>
      <c r="J40" s="98">
        <f>IF($B40="","",1-NORMDIST($D$5,$D$6+$D$7*((SUM($B$22:$B40)+(31-19)*$H$7)/31),$D$11,TRUE))</f>
        <v/>
      </c>
      <c r="K40" s="99">
        <f>IF($J40="","",100*(1-$J40))</f>
        <v/>
      </c>
      <c r="L40" s="100" t="n"/>
      <c r="M40" s="99">
        <f>IF(OR($J40="",$L40=""),"",$L40-100*$J40)</f>
        <v/>
      </c>
      <c r="N40" s="101" t="n"/>
      <c r="O40" s="101" t="n"/>
      <c r="P40" s="102">
        <f>IF($E40="","",IF($E40&gt;0.05,"WARM dev3 — spike risk UP",IF($E40&lt;-0.05,"COLD dev3 — spike risk DOWN","")))</f>
        <v/>
      </c>
      <c r="Q40" s="103" t="n"/>
      <c r="R40" s="97">
        <f>$D$9</f>
        <v/>
      </c>
      <c r="S40" s="99">
        <f>IF($J40="","",$J40*100)</f>
        <v/>
      </c>
    </row>
    <row r="41">
      <c r="A41" s="95" t="inlineStr">
        <is>
          <t>Aug 20</t>
        </is>
      </c>
      <c r="B41" s="96" t="n"/>
      <c r="C41" s="96" t="n"/>
      <c r="D41" s="97">
        <f>IF(OR($B41="",$C41=""),"",$B41-$C41)</f>
        <v/>
      </c>
      <c r="E41" s="97">
        <f>IF(COUNT($D39:$D41)&lt;3,"",AVERAGE($D39:$D41))</f>
        <v/>
      </c>
      <c r="F41" s="97">
        <f>IF($B41="","",AVERAGE($B$22:$B41))</f>
        <v/>
      </c>
      <c r="G41" s="97" t="n">
        <v>0.7188</v>
      </c>
      <c r="H41" s="97" t="n">
        <v>0.6763</v>
      </c>
      <c r="I41" s="97">
        <f>IF(OR($B41="",20&gt;=31),"",($D$9*31-SUM($B$22:$B41))/(31-20))</f>
        <v/>
      </c>
      <c r="J41" s="98">
        <f>IF($B41="","",1-NORMDIST($D$5,$D$6+$D$7*((SUM($B$22:$B41)+(31-20)*$H$7)/31),$D$11,TRUE))</f>
        <v/>
      </c>
      <c r="K41" s="99">
        <f>IF($J41="","",100*(1-$J41))</f>
        <v/>
      </c>
      <c r="L41" s="100" t="n"/>
      <c r="M41" s="99">
        <f>IF(OR($J41="",$L41=""),"",$L41-100*$J41)</f>
        <v/>
      </c>
      <c r="N41" s="101" t="n"/>
      <c r="O41" s="101" t="n"/>
      <c r="P41" s="102">
        <f>IF($E41="","",IF($E41&gt;0.05,"WARM dev3 — spike risk UP",IF($E41&lt;-0.05,"COLD dev3 — spike risk DOWN","")))</f>
        <v/>
      </c>
      <c r="Q41" s="103" t="n"/>
      <c r="R41" s="97">
        <f>$D$9</f>
        <v/>
      </c>
      <c r="S41" s="99">
        <f>IF($J41="","",$J41*100)</f>
        <v/>
      </c>
    </row>
    <row r="42">
      <c r="A42" s="95" t="inlineStr">
        <is>
          <t>Aug 21</t>
        </is>
      </c>
      <c r="B42" s="96" t="n"/>
      <c r="C42" s="96" t="n"/>
      <c r="D42" s="97">
        <f>IF(OR($B42="",$C42=""),"",$B42-$C42)</f>
        <v/>
      </c>
      <c r="E42" s="97">
        <f>IF(COUNT($D40:$D42)&lt;3,"",AVERAGE($D40:$D42))</f>
        <v/>
      </c>
      <c r="F42" s="97">
        <f>IF($B42="","",AVERAGE($B$22:$B42))</f>
        <v/>
      </c>
      <c r="G42" s="97" t="n">
        <v>0.7176</v>
      </c>
      <c r="H42" s="97" t="n">
        <v>0.6784</v>
      </c>
      <c r="I42" s="97">
        <f>IF(OR($B42="",21&gt;=31),"",($D$9*31-SUM($B$22:$B42))/(31-21))</f>
        <v/>
      </c>
      <c r="J42" s="98">
        <f>IF($B42="","",1-NORMDIST($D$5,$D$6+$D$7*((SUM($B$22:$B42)+(31-21)*$H$7)/31),$D$11,TRUE))</f>
        <v/>
      </c>
      <c r="K42" s="99">
        <f>IF($J42="","",100*(1-$J42))</f>
        <v/>
      </c>
      <c r="L42" s="100" t="n"/>
      <c r="M42" s="99">
        <f>IF(OR($J42="",$L42=""),"",$L42-100*$J42)</f>
        <v/>
      </c>
      <c r="N42" s="101" t="n"/>
      <c r="O42" s="101" t="n"/>
      <c r="P42" s="102">
        <f>IF($E42="","",IF($E42&gt;0.05,"WARM dev3 — spike risk UP",IF($E42&lt;-0.05,"COLD dev3 — spike risk DOWN","")))</f>
        <v/>
      </c>
      <c r="Q42" s="103" t="n"/>
      <c r="R42" s="97">
        <f>$D$9</f>
        <v/>
      </c>
      <c r="S42" s="99">
        <f>IF($J42="","",$J42*100)</f>
        <v/>
      </c>
    </row>
    <row r="43">
      <c r="A43" s="95" t="inlineStr">
        <is>
          <t>Aug 22</t>
        </is>
      </c>
      <c r="B43" s="96" t="n"/>
      <c r="C43" s="96" t="n"/>
      <c r="D43" s="97">
        <f>IF(OR($B43="",$C43=""),"",$B43-$C43)</f>
        <v/>
      </c>
      <c r="E43" s="97">
        <f>IF(COUNT($D41:$D43)&lt;3,"",AVERAGE($D41:$D43))</f>
        <v/>
      </c>
      <c r="F43" s="97">
        <f>IF($B43="","",AVERAGE($B$22:$B43))</f>
        <v/>
      </c>
      <c r="G43" s="97" t="n">
        <v>0.7151999999999999</v>
      </c>
      <c r="H43" s="97" t="n">
        <v>0.6821</v>
      </c>
      <c r="I43" s="97">
        <f>IF(OR($B43="",22&gt;=31),"",($D$9*31-SUM($B$22:$B43))/(31-22))</f>
        <v/>
      </c>
      <c r="J43" s="98">
        <f>IF($B43="","",1-NORMDIST($D$5,$D$6+$D$7*((SUM($B$22:$B43)+(31-22)*$H$7)/31),$D$11,TRUE))</f>
        <v/>
      </c>
      <c r="K43" s="99">
        <f>IF($J43="","",100*(1-$J43))</f>
        <v/>
      </c>
      <c r="L43" s="100" t="n"/>
      <c r="M43" s="99">
        <f>IF(OR($J43="",$L43=""),"",$L43-100*$J43)</f>
        <v/>
      </c>
      <c r="N43" s="101" t="n"/>
      <c r="O43" s="101" t="n"/>
      <c r="P43" s="102">
        <f>IF($E43="","",IF($E43&gt;0.05,"WARM dev3 — spike risk UP",IF($E43&lt;-0.05,"COLD dev3 — spike risk DOWN","")))</f>
        <v/>
      </c>
      <c r="Q43" s="103" t="n"/>
      <c r="R43" s="97">
        <f>$D$9</f>
        <v/>
      </c>
      <c r="S43" s="99">
        <f>IF($J43="","",$J43*100)</f>
        <v/>
      </c>
    </row>
    <row r="44">
      <c r="A44" s="95" t="inlineStr">
        <is>
          <t>Aug 23</t>
        </is>
      </c>
      <c r="B44" s="96" t="n"/>
      <c r="C44" s="96" t="n"/>
      <c r="D44" s="97">
        <f>IF(OR($B44="",$C44=""),"",$B44-$C44)</f>
        <v/>
      </c>
      <c r="E44" s="97">
        <f>IF(COUNT($D42:$D44)&lt;3,"",AVERAGE($D42:$D44))</f>
        <v/>
      </c>
      <c r="F44" s="97">
        <f>IF($B44="","",AVERAGE($B$22:$B44))</f>
        <v/>
      </c>
      <c r="G44" s="97" t="n">
        <v>0.7121</v>
      </c>
      <c r="H44" s="97" t="n">
        <v>0.6861</v>
      </c>
      <c r="I44" s="97">
        <f>IF(OR($B44="",23&gt;=31),"",($D$9*31-SUM($B$22:$B44))/(31-23))</f>
        <v/>
      </c>
      <c r="J44" s="98">
        <f>IF($B44="","",1-NORMDIST($D$5,$D$6+$D$7*((SUM($B$22:$B44)+(31-23)*$H$7)/31),$D$11,TRUE))</f>
        <v/>
      </c>
      <c r="K44" s="99">
        <f>IF($J44="","",100*(1-$J44))</f>
        <v/>
      </c>
      <c r="L44" s="100" t="n"/>
      <c r="M44" s="99">
        <f>IF(OR($J44="",$L44=""),"",$L44-100*$J44)</f>
        <v/>
      </c>
      <c r="N44" s="101" t="n"/>
      <c r="O44" s="101" t="n"/>
      <c r="P44" s="102">
        <f>IF($E44="","",IF($E44&gt;0.05,"WARM dev3 — spike risk UP",IF($E44&lt;-0.05,"COLD dev3 — spike risk DOWN","")))</f>
        <v/>
      </c>
      <c r="Q44" s="103" t="n"/>
      <c r="R44" s="97">
        <f>$D$9</f>
        <v/>
      </c>
      <c r="S44" s="99">
        <f>IF($J44="","",$J44*100)</f>
        <v/>
      </c>
    </row>
    <row r="45">
      <c r="A45" s="95" t="inlineStr">
        <is>
          <t>Aug 24</t>
        </is>
      </c>
      <c r="B45" s="96" t="n"/>
      <c r="C45" s="96" t="n"/>
      <c r="D45" s="97">
        <f>IF(OR($B45="",$C45=""),"",$B45-$C45)</f>
        <v/>
      </c>
      <c r="E45" s="97">
        <f>IF(COUNT($D43:$D45)&lt;3,"",AVERAGE($D43:$D45))</f>
        <v/>
      </c>
      <c r="F45" s="97">
        <f>IF($B45="","",AVERAGE($B$22:$B45))</f>
        <v/>
      </c>
      <c r="G45" s="97" t="n">
        <v>0.7075</v>
      </c>
      <c r="H45" s="97" t="n">
        <v>0.6917</v>
      </c>
      <c r="I45" s="97">
        <f>IF(OR($B45="",24&gt;=31),"",($D$9*31-SUM($B$22:$B45))/(31-24))</f>
        <v/>
      </c>
      <c r="J45" s="98">
        <f>IF($B45="","",1-NORMDIST($D$5,$D$6+$D$7*((SUM($B$22:$B45)+(31-24)*$H$7)/31),$D$11,TRUE))</f>
        <v/>
      </c>
      <c r="K45" s="99">
        <f>IF($J45="","",100*(1-$J45))</f>
        <v/>
      </c>
      <c r="L45" s="100" t="n"/>
      <c r="M45" s="99">
        <f>IF(OR($J45="",$L45=""),"",$L45-100*$J45)</f>
        <v/>
      </c>
      <c r="N45" s="101" t="n"/>
      <c r="O45" s="101" t="n"/>
      <c r="P45" s="102">
        <f>IF($E45="","",IF($E45&gt;0.05,"WARM dev3 — spike risk UP",IF($E45&lt;-0.05,"COLD dev3 — spike risk DOWN","")))</f>
        <v/>
      </c>
      <c r="Q45" s="103" t="n"/>
      <c r="R45" s="97">
        <f>$D$9</f>
        <v/>
      </c>
      <c r="S45" s="99">
        <f>IF($J45="","",$J45*100)</f>
        <v/>
      </c>
    </row>
    <row r="46">
      <c r="A46" s="95" t="inlineStr">
        <is>
          <t>Aug 25</t>
        </is>
      </c>
      <c r="B46" s="96" t="n"/>
      <c r="C46" s="96" t="n"/>
      <c r="D46" s="97">
        <f>IF(OR($B46="",$C46=""),"",$B46-$C46)</f>
        <v/>
      </c>
      <c r="E46" s="97">
        <f>IF(COUNT($D44:$D46)&lt;3,"",AVERAGE($D44:$D46))</f>
        <v/>
      </c>
      <c r="F46" s="97">
        <f>IF($B46="","",AVERAGE($B$22:$B46))</f>
        <v/>
      </c>
      <c r="G46" s="97" t="n">
        <v>0.702</v>
      </c>
      <c r="H46" s="97" t="n">
        <v>0.699</v>
      </c>
      <c r="I46" s="97">
        <f>IF(OR($B46="",25&gt;=31),"",($D$9*31-SUM($B$22:$B46))/(31-25))</f>
        <v/>
      </c>
      <c r="J46" s="98">
        <f>IF($B46="","",1-NORMDIST($D$5,$D$6+$D$7*((SUM($B$22:$B46)+(31-25)*$H$7)/31),$D$11,TRUE))</f>
        <v/>
      </c>
      <c r="K46" s="99">
        <f>IF($J46="","",100*(1-$J46))</f>
        <v/>
      </c>
      <c r="L46" s="100" t="n"/>
      <c r="M46" s="99">
        <f>IF(OR($J46="",$L46=""),"",$L46-100*$J46)</f>
        <v/>
      </c>
      <c r="N46" s="101" t="n"/>
      <c r="O46" s="101" t="n"/>
      <c r="P46" s="102">
        <f>IF($E46="","",IF($E46&gt;0.05,"WARM dev3 — spike risk UP",IF($E46&lt;-0.05,"COLD dev3 — spike risk DOWN","")))</f>
        <v/>
      </c>
      <c r="Q46" s="103" t="n"/>
      <c r="R46" s="97">
        <f>$D$9</f>
        <v/>
      </c>
      <c r="S46" s="99">
        <f>IF($J46="","",$J46*100)</f>
        <v/>
      </c>
    </row>
    <row r="47">
      <c r="A47" s="95" t="inlineStr">
        <is>
          <t>Aug 26</t>
        </is>
      </c>
      <c r="B47" s="96" t="n"/>
      <c r="C47" s="96" t="n"/>
      <c r="D47" s="97">
        <f>IF(OR($B47="",$C47=""),"",$B47-$C47)</f>
        <v/>
      </c>
      <c r="E47" s="97">
        <f>IF(COUNT($D45:$D47)&lt;3,"",AVERAGE($D45:$D47))</f>
        <v/>
      </c>
      <c r="F47" s="97">
        <f>IF($B47="","",AVERAGE($B$22:$B47))</f>
        <v/>
      </c>
      <c r="G47" s="97" t="n">
        <v>0.6999</v>
      </c>
      <c r="H47" s="97" t="n">
        <v>0.7038</v>
      </c>
      <c r="I47" s="97">
        <f>IF(OR($B47="",26&gt;=31),"",($D$9*31-SUM($B$22:$B47))/(31-26))</f>
        <v/>
      </c>
      <c r="J47" s="98">
        <f>IF($B47="","",1-NORMDIST($D$5,$D$6+$D$7*((SUM($B$22:$B47)+(31-26)*$H$7)/31),$D$11,TRUE))</f>
        <v/>
      </c>
      <c r="K47" s="99">
        <f>IF($J47="","",100*(1-$J47))</f>
        <v/>
      </c>
      <c r="L47" s="100" t="n"/>
      <c r="M47" s="99">
        <f>IF(OR($J47="",$L47=""),"",$L47-100*$J47)</f>
        <v/>
      </c>
      <c r="N47" s="101" t="n"/>
      <c r="O47" s="101" t="n"/>
      <c r="P47" s="102">
        <f>IF($E47="","",IF($E47&gt;0.05,"WARM dev3 — spike risk UP",IF($E47&lt;-0.05,"COLD dev3 — spike risk DOWN","")))</f>
        <v/>
      </c>
      <c r="Q47" s="103" t="n"/>
      <c r="R47" s="97">
        <f>$D$9</f>
        <v/>
      </c>
      <c r="S47" s="99">
        <f>IF($J47="","",$J47*100)</f>
        <v/>
      </c>
    </row>
    <row r="48">
      <c r="A48" s="95" t="inlineStr">
        <is>
          <t>Aug 27</t>
        </is>
      </c>
      <c r="B48" s="96" t="n"/>
      <c r="C48" s="96" t="n"/>
      <c r="D48" s="97">
        <f>IF(OR($B48="",$C48=""),"",$B48-$C48)</f>
        <v/>
      </c>
      <c r="E48" s="97">
        <f>IF(COUNT($D46:$D48)&lt;3,"",AVERAGE($D46:$D48))</f>
        <v/>
      </c>
      <c r="F48" s="97">
        <f>IF($B48="","",AVERAGE($B$22:$B48))</f>
        <v/>
      </c>
      <c r="G48" s="97" t="n">
        <v>0.7009</v>
      </c>
      <c r="H48" s="97" t="n">
        <v>0.7055</v>
      </c>
      <c r="I48" s="97">
        <f>IF(OR($B48="",27&gt;=31),"",($D$9*31-SUM($B$22:$B48))/(31-27))</f>
        <v/>
      </c>
      <c r="J48" s="98">
        <f>IF($B48="","",1-NORMDIST($D$5,$D$6+$D$7*((SUM($B$22:$B48)+(31-27)*$H$7)/31),$D$11,TRUE))</f>
        <v/>
      </c>
      <c r="K48" s="99">
        <f>IF($J48="","",100*(1-$J48))</f>
        <v/>
      </c>
      <c r="L48" s="100" t="n"/>
      <c r="M48" s="99">
        <f>IF(OR($J48="",$L48=""),"",$L48-100*$J48)</f>
        <v/>
      </c>
      <c r="N48" s="101" t="n"/>
      <c r="O48" s="101" t="n"/>
      <c r="P48" s="102">
        <f>IF($E48="","",IF($E48&gt;0.05,"WARM dev3 — spike risk UP",IF($E48&lt;-0.05,"COLD dev3 — spike risk DOWN","")))</f>
        <v/>
      </c>
      <c r="Q48" s="103" t="n"/>
      <c r="R48" s="97">
        <f>$D$9</f>
        <v/>
      </c>
      <c r="S48" s="99">
        <f>IF($J48="","",$J48*100)</f>
        <v/>
      </c>
    </row>
    <row r="49">
      <c r="A49" s="95" t="inlineStr">
        <is>
          <t>Aug 28</t>
        </is>
      </c>
      <c r="B49" s="96" t="n"/>
      <c r="C49" s="96" t="n"/>
      <c r="D49" s="97">
        <f>IF(OR($B49="",$C49=""),"",$B49-$C49)</f>
        <v/>
      </c>
      <c r="E49" s="97">
        <f>IF(COUNT($D47:$D49)&lt;3,"",AVERAGE($D47:$D49))</f>
        <v/>
      </c>
      <c r="F49" s="97">
        <f>IF($B49="","",AVERAGE($B$22:$B49))</f>
        <v/>
      </c>
      <c r="G49" s="97" t="n">
        <v>0.7040999999999999</v>
      </c>
      <c r="H49" s="97" t="n">
        <v>0.7067</v>
      </c>
      <c r="I49" s="97">
        <f>IF(OR($B49="",28&gt;=31),"",($D$9*31-SUM($B$22:$B49))/(31-28))</f>
        <v/>
      </c>
      <c r="J49" s="98">
        <f>IF($B49="","",1-NORMDIST($D$5,$D$6+$D$7*((SUM($B$22:$B49)+(31-28)*$H$7)/31),$D$11,TRUE))</f>
        <v/>
      </c>
      <c r="K49" s="99">
        <f>IF($J49="","",100*(1-$J49))</f>
        <v/>
      </c>
      <c r="L49" s="100" t="n"/>
      <c r="M49" s="99">
        <f>IF(OR($J49="",$L49=""),"",$L49-100*$J49)</f>
        <v/>
      </c>
      <c r="N49" s="101" t="n"/>
      <c r="O49" s="101" t="n"/>
      <c r="P49" s="102">
        <f>IF($E49="","",IF($E49&gt;0.05,"WARM dev3 — spike risk UP",IF($E49&lt;-0.05,"COLD dev3 — spike risk DOWN","")))</f>
        <v/>
      </c>
      <c r="Q49" s="103" t="n"/>
      <c r="R49" s="97">
        <f>$D$9</f>
        <v/>
      </c>
      <c r="S49" s="99">
        <f>IF($J49="","",$J49*100)</f>
        <v/>
      </c>
    </row>
    <row r="50">
      <c r="A50" s="95" t="inlineStr">
        <is>
          <t>Aug 29</t>
        </is>
      </c>
      <c r="B50" s="96" t="n"/>
      <c r="C50" s="96" t="n"/>
      <c r="D50" s="97">
        <f>IF(OR($B50="",$C50=""),"",$B50-$C50)</f>
        <v/>
      </c>
      <c r="E50" s="97">
        <f>IF(COUNT($D48:$D50)&lt;3,"",AVERAGE($D48:$D50))</f>
        <v/>
      </c>
      <c r="F50" s="97">
        <f>IF($B50="","",AVERAGE($B$22:$B50))</f>
        <v/>
      </c>
      <c r="G50" s="97" t="n">
        <v>0.7071</v>
      </c>
      <c r="H50" s="97" t="n">
        <v>0.7092000000000001</v>
      </c>
      <c r="I50" s="97">
        <f>IF(OR($B50="",29&gt;=31),"",($D$9*31-SUM($B$22:$B50))/(31-29))</f>
        <v/>
      </c>
      <c r="J50" s="98">
        <f>IF($B50="","",1-NORMDIST($D$5,$D$6+$D$7*((SUM($B$22:$B50)+(31-29)*$H$7)/31),$D$11,TRUE))</f>
        <v/>
      </c>
      <c r="K50" s="99">
        <f>IF($J50="","",100*(1-$J50))</f>
        <v/>
      </c>
      <c r="L50" s="100" t="n"/>
      <c r="M50" s="99">
        <f>IF(OR($J50="",$L50=""),"",$L50-100*$J50)</f>
        <v/>
      </c>
      <c r="N50" s="101" t="n"/>
      <c r="O50" s="101" t="n"/>
      <c r="P50" s="102">
        <f>IF($E50="","",IF($E50&gt;0.05,"WARM dev3 — spike risk UP",IF($E50&lt;-0.05,"COLD dev3 — spike risk DOWN","")))</f>
        <v/>
      </c>
      <c r="Q50" s="103" t="n"/>
      <c r="R50" s="97">
        <f>$D$9</f>
        <v/>
      </c>
      <c r="S50" s="99">
        <f>IF($J50="","",$J50*100)</f>
        <v/>
      </c>
    </row>
    <row r="51">
      <c r="A51" s="95" t="inlineStr">
        <is>
          <t>Aug 30</t>
        </is>
      </c>
      <c r="B51" s="96" t="n"/>
      <c r="C51" s="96" t="n"/>
      <c r="D51" s="97">
        <f>IF(OR($B51="",$C51=""),"",$B51-$C51)</f>
        <v/>
      </c>
      <c r="E51" s="97">
        <f>IF(COUNT($D49:$D51)&lt;3,"",AVERAGE($D49:$D51))</f>
        <v/>
      </c>
      <c r="F51" s="97">
        <f>IF($B51="","",AVERAGE($B$22:$B51))</f>
        <v/>
      </c>
      <c r="G51" s="97" t="n">
        <v>0.7101</v>
      </c>
      <c r="H51" s="97" t="n">
        <v>0.7109</v>
      </c>
      <c r="I51" s="97">
        <f>IF(OR($B51="",30&gt;=31),"",($D$9*31-SUM($B$22:$B51))/(31-30))</f>
        <v/>
      </c>
      <c r="J51" s="98">
        <f>IF($B51="","",1-NORMDIST($D$5,$D$6+$D$7*((SUM($B$22:$B51)+(31-30)*$H$7)/31),$D$11,TRUE))</f>
        <v/>
      </c>
      <c r="K51" s="99">
        <f>IF($J51="","",100*(1-$J51))</f>
        <v/>
      </c>
      <c r="L51" s="100" t="n"/>
      <c r="M51" s="99">
        <f>IF(OR($J51="",$L51=""),"",$L51-100*$J51)</f>
        <v/>
      </c>
      <c r="N51" s="101" t="n"/>
      <c r="O51" s="101" t="n"/>
      <c r="P51" s="102">
        <f>IF($E51="","",IF($E51&gt;0.05,"WARM dev3 — spike risk UP",IF($E51&lt;-0.05,"COLD dev3 — spike risk DOWN","")))</f>
        <v/>
      </c>
      <c r="Q51" s="103" t="n"/>
      <c r="R51" s="97">
        <f>$D$9</f>
        <v/>
      </c>
      <c r="S51" s="99">
        <f>IF($J51="","",$J51*100)</f>
        <v/>
      </c>
    </row>
    <row r="52">
      <c r="A52" s="95" t="inlineStr">
        <is>
          <t>Aug 31</t>
        </is>
      </c>
      <c r="B52" s="96" t="n"/>
      <c r="C52" s="96" t="n"/>
      <c r="D52" s="97">
        <f>IF(OR($B52="",$C52=""),"",$B52-$C52)</f>
        <v/>
      </c>
      <c r="E52" s="97">
        <f>IF(COUNT($D50:$D52)&lt;3,"",AVERAGE($D50:$D52))</f>
        <v/>
      </c>
      <c r="F52" s="97">
        <f>IF($B52="","",AVERAGE($B$22:$B52))</f>
        <v/>
      </c>
      <c r="G52" s="97" t="n">
        <v>0.7125</v>
      </c>
      <c r="H52" s="97" t="n">
        <v>0.7105</v>
      </c>
      <c r="I52" s="97">
        <f>IF(OR($B52="",31&gt;=31),"",($D$9*31-SUM($B$22:$B52))/(31-31))</f>
        <v/>
      </c>
      <c r="J52" s="98">
        <f>IF($B52="","",1-NORMDIST($D$5,$D$6+$D$7*((SUM($B$22:$B52)+(31-31)*$H$7)/31),$D$11,TRUE))</f>
        <v/>
      </c>
      <c r="K52" s="99">
        <f>IF($J52="","",100*(1-$J52))</f>
        <v/>
      </c>
      <c r="L52" s="100" t="n"/>
      <c r="M52" s="99">
        <f>IF(OR($J52="",$L52=""),"",$L52-100*$J52)</f>
        <v/>
      </c>
      <c r="N52" s="101" t="n"/>
      <c r="O52" s="101" t="n"/>
      <c r="P52" s="102">
        <f>IF($E52="","",IF($E52&gt;0.05,"WARM dev3 — spike risk UP",IF($E52&lt;-0.05,"COLD dev3 — spike risk DOWN","")))</f>
        <v/>
      </c>
      <c r="Q52" s="103" t="n"/>
      <c r="R52" s="97">
        <f>$D$9</f>
        <v/>
      </c>
      <c r="S52" s="99">
        <f>IF($J52="","",$J52*100)</f>
        <v/>
      </c>
    </row>
    <row r="53">
      <c r="A53" s="57" t="inlineStr">
        <is>
          <t>MEAN</t>
        </is>
      </c>
      <c r="B53" s="55">
        <f>AVERAGE(B22:B52)</f>
        <v/>
      </c>
      <c r="C53" s="55">
        <f>AVERAGE(C22:C52)</f>
        <v/>
      </c>
      <c r="D53" s="55">
        <f>AVERAGE(D22:D52)</f>
        <v/>
      </c>
      <c r="E53" s="55">
        <f>AVERAGE(E22:E52)</f>
        <v/>
      </c>
      <c r="F53" s="55">
        <f>AVERAGE(F22:F52)</f>
        <v/>
      </c>
      <c r="G53" s="55">
        <f>AVERAGE(G22:G52)</f>
        <v/>
      </c>
      <c r="H53" s="55">
        <f>AVERAGE(H22:H52)</f>
        <v/>
      </c>
      <c r="I53" s="55" t="n"/>
      <c r="J53" s="58">
        <f>AVERAGE(J22:J52)</f>
        <v/>
      </c>
      <c r="K53" s="56">
        <f>AVERAGE(K22:K52)</f>
        <v/>
      </c>
      <c r="L53" s="56">
        <f>AVERAGE(L19:L52)</f>
        <v/>
      </c>
      <c r="M53" s="56">
        <f>AVERAGE(M19:M52)</f>
        <v/>
      </c>
      <c r="N53" s="56">
        <f>AVERAGE(N19:N52)</f>
        <v/>
      </c>
      <c r="O53" s="56">
        <f>AVERAGE(O19:O52)</f>
        <v/>
      </c>
    </row>
    <row r="55">
      <c r="A55" s="164" t="inlineStr">
        <is>
          <t>CALIBRATION — August 1990–2025</t>
        </is>
      </c>
      <c r="E55" s="164" t="inlineStr">
        <is>
          <t>σ_f BY k</t>
        </is>
      </c>
      <c r="H55" s="164" t="inlineStr">
        <is>
          <t>TRANSLATION BIAS — 2026 prints</t>
        </is>
      </c>
    </row>
    <row r="56">
      <c r="A56" s="104" t="inlineStr">
        <is>
          <t>Year</t>
        </is>
      </c>
      <c r="B56" s="104" t="inlineStr">
        <is>
          <t>ERA5 mean</t>
        </is>
      </c>
      <c r="C56" s="104" t="inlineStr">
        <is>
          <t>NOAA</t>
        </is>
      </c>
      <c r="E56" s="104" t="inlineStr">
        <is>
          <t>k</t>
        </is>
      </c>
      <c r="F56" s="104" t="inlineStr">
        <is>
          <t>σ_f</t>
        </is>
      </c>
      <c r="H56" s="104" t="inlineStr">
        <is>
          <t>Month</t>
        </is>
      </c>
      <c r="I56" s="104" t="inlineStr">
        <is>
          <t>ERA5</t>
        </is>
      </c>
      <c r="J56" s="104" t="inlineStr">
        <is>
          <t>NOAA</t>
        </is>
      </c>
      <c r="K56" s="104" t="inlineStr">
        <is>
          <t>Fitted</t>
        </is>
      </c>
      <c r="L56" s="104" t="inlineStr">
        <is>
          <t>Residual</t>
        </is>
      </c>
    </row>
    <row r="57">
      <c r="A57" s="105" t="n">
        <v>1990</v>
      </c>
      <c r="B57" s="45" t="n">
        <v>-0.1647</v>
      </c>
      <c r="C57" s="46" t="n">
        <v>0.33</v>
      </c>
      <c r="E57" s="105" t="n">
        <v>0</v>
      </c>
      <c r="F57" s="47" t="n">
        <v>0.0638</v>
      </c>
      <c r="H57" t="inlineStr">
        <is>
          <t>Jan</t>
        </is>
      </c>
      <c r="I57" t="n">
        <v>0.5096000000000001</v>
      </c>
      <c r="J57" t="n">
        <v>1.1</v>
      </c>
      <c r="K57" t="n">
        <v>1.0963</v>
      </c>
      <c r="L57" t="n">
        <v>0.0037</v>
      </c>
    </row>
    <row r="58">
      <c r="A58" s="105" t="n">
        <v>1991</v>
      </c>
      <c r="B58" s="45" t="n">
        <v>-0.1385</v>
      </c>
      <c r="C58" s="46" t="n">
        <v>0.4</v>
      </c>
      <c r="E58" s="105" t="n">
        <v>1</v>
      </c>
      <c r="F58" s="47" t="n">
        <v>0.059</v>
      </c>
      <c r="H58" t="inlineStr">
        <is>
          <t>Feb</t>
        </is>
      </c>
      <c r="I58" t="n">
        <v>0.5361</v>
      </c>
      <c r="J58" t="n">
        <v>1.18</v>
      </c>
      <c r="K58" t="n">
        <v>1.1486</v>
      </c>
      <c r="L58" t="n">
        <v>0.0314</v>
      </c>
    </row>
    <row r="59">
      <c r="A59" s="105" t="n">
        <v>1992</v>
      </c>
      <c r="B59" s="45" t="n">
        <v>-0.487</v>
      </c>
      <c r="C59" s="46" t="n">
        <v>0.12</v>
      </c>
      <c r="E59" s="105" t="n">
        <v>2</v>
      </c>
      <c r="F59" s="47" t="n">
        <v>0.0569</v>
      </c>
      <c r="H59" t="inlineStr">
        <is>
          <t>Mar</t>
        </is>
      </c>
      <c r="I59" t="n">
        <v>0.534</v>
      </c>
      <c r="J59" t="n">
        <v>1.23</v>
      </c>
      <c r="K59" t="n">
        <v>1.1708</v>
      </c>
      <c r="L59" t="n">
        <v>0.0592</v>
      </c>
    </row>
    <row r="60">
      <c r="A60" s="105" t="n">
        <v>1993</v>
      </c>
      <c r="B60" s="45" t="n">
        <v>-0.3833</v>
      </c>
      <c r="C60" s="46" t="n">
        <v>0.19</v>
      </c>
      <c r="E60" s="105" t="n">
        <v>3</v>
      </c>
      <c r="F60" s="47" t="n">
        <v>0.0559</v>
      </c>
      <c r="H60" t="inlineStr">
        <is>
          <t>Apr</t>
        </is>
      </c>
      <c r="I60" t="n">
        <v>0.5232</v>
      </c>
      <c r="J60" t="n">
        <v>1.15</v>
      </c>
      <c r="K60" t="n">
        <v>1.116</v>
      </c>
      <c r="L60" t="n">
        <v>0.034</v>
      </c>
    </row>
    <row r="61">
      <c r="A61" s="105" t="n">
        <v>1994</v>
      </c>
      <c r="B61" s="45" t="n">
        <v>-0.3831</v>
      </c>
      <c r="C61" s="46" t="n">
        <v>0.27</v>
      </c>
      <c r="E61" s="105" t="n">
        <v>4</v>
      </c>
      <c r="F61" s="47" t="n">
        <v>0.055</v>
      </c>
      <c r="H61" t="inlineStr">
        <is>
          <t>May</t>
        </is>
      </c>
      <c r="I61" t="n">
        <v>0.5455</v>
      </c>
      <c r="J61" t="n">
        <v>1.08</v>
      </c>
      <c r="K61" t="n">
        <v>1.0698</v>
      </c>
      <c r="L61" t="n">
        <v>0.0102</v>
      </c>
    </row>
    <row r="62">
      <c r="A62" s="105" t="n">
        <v>1995</v>
      </c>
      <c r="B62" s="45" t="n">
        <v>-0.1058</v>
      </c>
      <c r="C62" s="46" t="n">
        <v>0.51</v>
      </c>
      <c r="E62" s="105" t="n">
        <v>5</v>
      </c>
      <c r="F62" s="47" t="n">
        <v>0.0541</v>
      </c>
      <c r="H62" t="inlineStr">
        <is>
          <t>Jun</t>
        </is>
      </c>
      <c r="I62" t="n">
        <v>0.5593</v>
      </c>
      <c r="J62" t="n">
        <v>1.09</v>
      </c>
      <c r="K62" t="n">
        <v>1.0941</v>
      </c>
      <c r="L62" t="n">
        <v>-0.0041</v>
      </c>
    </row>
    <row r="63">
      <c r="A63" s="105" t="n">
        <v>1996</v>
      </c>
      <c r="B63" s="45" t="n">
        <v>-0.1104</v>
      </c>
      <c r="C63" s="46" t="n">
        <v>0.43</v>
      </c>
      <c r="E63" s="105" t="n">
        <v>6</v>
      </c>
      <c r="F63" s="47" t="n">
        <v>0.0526</v>
      </c>
      <c r="H63" s="106" t="inlineStr">
        <is>
          <t>MEAN</t>
        </is>
      </c>
      <c r="L63" s="48">
        <f>AVERAGE(L57:L62)</f>
        <v/>
      </c>
    </row>
    <row r="64">
      <c r="A64" s="105" t="n">
        <v>1997</v>
      </c>
      <c r="B64" s="45" t="n">
        <v>-0.1329</v>
      </c>
      <c r="C64" s="46" t="n">
        <v>0.47</v>
      </c>
      <c r="E64" s="105" t="n">
        <v>7</v>
      </c>
      <c r="F64" s="47" t="n">
        <v>0.0502</v>
      </c>
    </row>
    <row r="65">
      <c r="A65" s="105" t="n">
        <v>1998</v>
      </c>
      <c r="B65" s="45" t="n">
        <v>0.1426</v>
      </c>
      <c r="C65" s="46" t="n">
        <v>0.71</v>
      </c>
      <c r="E65" s="105" t="n">
        <v>8</v>
      </c>
      <c r="F65" s="47" t="n">
        <v>0.0474</v>
      </c>
    </row>
    <row r="66">
      <c r="A66" s="105" t="n">
        <v>1999</v>
      </c>
      <c r="B66" s="45" t="n">
        <v>-0.2364</v>
      </c>
      <c r="C66" s="46" t="n">
        <v>0.38</v>
      </c>
      <c r="E66" s="105" t="n">
        <v>9</v>
      </c>
      <c r="F66" s="47" t="n">
        <v>0.045</v>
      </c>
    </row>
    <row r="67">
      <c r="A67" s="105" t="n">
        <v>2000</v>
      </c>
      <c r="B67" s="45" t="n">
        <v>-0.1738</v>
      </c>
      <c r="C67" s="46" t="n">
        <v>0.44</v>
      </c>
      <c r="E67" s="105" t="n">
        <v>10</v>
      </c>
      <c r="F67" s="47" t="n">
        <v>0.0432</v>
      </c>
    </row>
    <row r="68">
      <c r="A68" s="105" t="n">
        <v>2001</v>
      </c>
      <c r="B68" s="45" t="n">
        <v>-0.0498</v>
      </c>
      <c r="C68" s="46" t="n">
        <v>0.52</v>
      </c>
      <c r="E68" s="105" t="n">
        <v>11</v>
      </c>
      <c r="F68" s="47" t="n">
        <v>0.0417</v>
      </c>
    </row>
    <row r="69">
      <c r="A69" s="105" t="n">
        <v>2002</v>
      </c>
      <c r="B69" s="45" t="n">
        <v>-0.0454</v>
      </c>
      <c r="C69" s="46" t="n">
        <v>0.55</v>
      </c>
      <c r="E69" s="105" t="n">
        <v>12</v>
      </c>
      <c r="F69" s="47" t="n">
        <v>0.0407</v>
      </c>
    </row>
    <row r="70">
      <c r="A70" s="105" t="n">
        <v>2003</v>
      </c>
      <c r="B70" s="45" t="n">
        <v>0.047</v>
      </c>
      <c r="C70" s="46" t="n">
        <v>0.62</v>
      </c>
      <c r="E70" s="105" t="n">
        <v>13</v>
      </c>
      <c r="F70" s="47" t="n">
        <v>0.0404</v>
      </c>
    </row>
    <row r="71">
      <c r="A71" s="105" t="n">
        <v>2004</v>
      </c>
      <c r="B71" s="45" t="n">
        <v>-0.1605</v>
      </c>
      <c r="C71" s="46" t="n">
        <v>0.48</v>
      </c>
      <c r="E71" s="105" t="n">
        <v>14</v>
      </c>
      <c r="F71" s="47" t="n">
        <v>0.0409</v>
      </c>
    </row>
    <row r="72">
      <c r="A72" s="105" t="n">
        <v>2005</v>
      </c>
      <c r="B72" s="45" t="n">
        <v>0.0308</v>
      </c>
      <c r="C72" s="46" t="n">
        <v>0.58</v>
      </c>
      <c r="E72" s="105" t="n">
        <v>15</v>
      </c>
      <c r="F72" s="47" t="n">
        <v>0.0415</v>
      </c>
    </row>
    <row r="73">
      <c r="A73" s="105" t="n">
        <v>2006</v>
      </c>
      <c r="B73" s="45" t="n">
        <v>0.0721</v>
      </c>
      <c r="C73" s="46" t="n">
        <v>0.68</v>
      </c>
      <c r="E73" s="105" t="n">
        <v>16</v>
      </c>
      <c r="F73" s="47" t="n">
        <v>0.042</v>
      </c>
    </row>
    <row r="74">
      <c r="A74" s="105" t="n">
        <v>2007</v>
      </c>
      <c r="B74" s="45" t="n">
        <v>-0.0177</v>
      </c>
      <c r="C74" s="46" t="n">
        <v>0.5600000000000001</v>
      </c>
      <c r="E74" s="105" t="n">
        <v>17</v>
      </c>
      <c r="F74" s="47" t="n">
        <v>0.0421</v>
      </c>
    </row>
    <row r="75">
      <c r="A75" s="105" t="n">
        <v>2008</v>
      </c>
      <c r="B75" s="45" t="n">
        <v>-0.0779</v>
      </c>
      <c r="C75" s="46" t="n">
        <v>0.52</v>
      </c>
      <c r="E75" s="105" t="n">
        <v>18</v>
      </c>
      <c r="F75" s="47" t="n">
        <v>0.0417</v>
      </c>
    </row>
    <row r="76">
      <c r="A76" s="105" t="n">
        <v>2009</v>
      </c>
      <c r="B76" s="45" t="n">
        <v>0.0463</v>
      </c>
      <c r="C76" s="46" t="n">
        <v>0.68</v>
      </c>
      <c r="E76" s="105" t="n">
        <v>19</v>
      </c>
      <c r="F76" s="47" t="n">
        <v>0.0405</v>
      </c>
    </row>
    <row r="77">
      <c r="A77" s="105" t="n">
        <v>2010</v>
      </c>
      <c r="B77" s="45" t="n">
        <v>0.0473</v>
      </c>
      <c r="C77" s="46" t="n">
        <v>0.63</v>
      </c>
      <c r="E77" s="105" t="n">
        <v>20</v>
      </c>
      <c r="F77" s="47" t="n">
        <v>0.0387</v>
      </c>
    </row>
    <row r="78">
      <c r="A78" s="105" t="n">
        <v>2011</v>
      </c>
      <c r="B78" s="45" t="n">
        <v>0.1119</v>
      </c>
      <c r="C78" s="46" t="n">
        <v>0.68</v>
      </c>
      <c r="E78" s="105" t="n">
        <v>21</v>
      </c>
      <c r="F78" s="47" t="n">
        <v>0.0363</v>
      </c>
    </row>
    <row r="79">
      <c r="A79" s="105" t="n">
        <v>2012</v>
      </c>
      <c r="B79" s="45" t="n">
        <v>0.0774</v>
      </c>
      <c r="C79" s="46" t="n">
        <v>0.65</v>
      </c>
      <c r="E79" s="105" t="n">
        <v>22</v>
      </c>
      <c r="F79" s="47" t="n">
        <v>0.0334</v>
      </c>
    </row>
    <row r="80">
      <c r="A80" s="105" t="n">
        <v>2013</v>
      </c>
      <c r="B80" s="45" t="n">
        <v>0.0557</v>
      </c>
      <c r="C80" s="46" t="n">
        <v>0.67</v>
      </c>
      <c r="E80" s="105" t="n">
        <v>23</v>
      </c>
      <c r="F80" s="47" t="n">
        <v>0.0303</v>
      </c>
    </row>
    <row r="81">
      <c r="A81" s="105" t="n">
        <v>2014</v>
      </c>
      <c r="B81" s="45" t="n">
        <v>0.137</v>
      </c>
      <c r="C81" s="46" t="n">
        <v>0.8</v>
      </c>
      <c r="E81" s="105" t="n">
        <v>24</v>
      </c>
      <c r="F81" s="47" t="n">
        <v>0.0265</v>
      </c>
    </row>
    <row r="82">
      <c r="A82" s="105" t="n">
        <v>2015</v>
      </c>
      <c r="B82" s="45" t="n">
        <v>0.2433</v>
      </c>
      <c r="C82" s="46" t="n">
        <v>0.8</v>
      </c>
      <c r="E82" s="105" t="n">
        <v>25</v>
      </c>
      <c r="F82" s="47" t="n">
        <v>0.0222</v>
      </c>
    </row>
    <row r="83">
      <c r="A83" s="105" t="n">
        <v>2016</v>
      </c>
      <c r="B83" s="45" t="n">
        <v>0.4022</v>
      </c>
      <c r="C83" s="46" t="n">
        <v>0.97</v>
      </c>
      <c r="E83" s="105" t="n">
        <v>26</v>
      </c>
      <c r="F83" s="47" t="n">
        <v>0.0179</v>
      </c>
    </row>
    <row r="84">
      <c r="A84" s="105" t="n">
        <v>2017</v>
      </c>
      <c r="B84" s="45" t="n">
        <v>0.2969</v>
      </c>
      <c r="C84" s="46" t="n">
        <v>0.87</v>
      </c>
      <c r="E84" s="105" t="n">
        <v>27</v>
      </c>
      <c r="F84" s="47" t="n">
        <v>0.0139</v>
      </c>
    </row>
    <row r="85">
      <c r="A85" s="105" t="n">
        <v>2018</v>
      </c>
      <c r="B85" s="45" t="n">
        <v>0.2094</v>
      </c>
      <c r="C85" s="46" t="n">
        <v>0.8100000000000001</v>
      </c>
      <c r="E85" s="105" t="n">
        <v>28</v>
      </c>
      <c r="F85" s="47" t="n">
        <v>0.01</v>
      </c>
    </row>
    <row r="86">
      <c r="A86" s="105" t="n">
        <v>2019</v>
      </c>
      <c r="B86" s="45" t="n">
        <v>0.357</v>
      </c>
      <c r="C86" s="46" t="n">
        <v>0.9399999999999999</v>
      </c>
      <c r="E86" s="105" t="n">
        <v>29</v>
      </c>
      <c r="F86" s="47" t="n">
        <v>0.0064</v>
      </c>
    </row>
    <row r="87">
      <c r="A87" s="105" t="n">
        <v>2020</v>
      </c>
      <c r="B87" s="45" t="n">
        <v>0.2676</v>
      </c>
      <c r="C87" s="46" t="n">
        <v>0.9</v>
      </c>
      <c r="E87" s="105" t="n">
        <v>30</v>
      </c>
      <c r="F87" s="47" t="n">
        <v>0.0032</v>
      </c>
    </row>
    <row r="88">
      <c r="A88" s="105" t="n">
        <v>2021</v>
      </c>
      <c r="B88" s="45" t="n">
        <v>0.312</v>
      </c>
      <c r="C88" s="46" t="n">
        <v>0.88</v>
      </c>
      <c r="E88" s="105" t="n">
        <v>31</v>
      </c>
      <c r="F88" s="47" t="n">
        <v>0</v>
      </c>
    </row>
    <row r="89">
      <c r="A89" s="105" t="n">
        <v>2022</v>
      </c>
      <c r="B89" s="45" t="n">
        <v>0.2966</v>
      </c>
      <c r="C89" s="46" t="n">
        <v>0.92</v>
      </c>
    </row>
    <row r="90">
      <c r="A90" s="105" t="n">
        <v>2023</v>
      </c>
      <c r="B90" s="45" t="n">
        <v>0.7105</v>
      </c>
      <c r="C90" s="46" t="n">
        <v>1.25</v>
      </c>
    </row>
    <row r="91">
      <c r="A91" s="105" t="n">
        <v>2024</v>
      </c>
      <c r="B91" s="45" t="n">
        <v>0.7125</v>
      </c>
      <c r="C91" s="46" t="n">
        <v>1.24</v>
      </c>
    </row>
    <row r="92">
      <c r="A92" s="105" t="n">
        <v>2025</v>
      </c>
      <c r="B92" s="45" t="n">
        <v>0.4909</v>
      </c>
      <c r="C92" s="46" t="n">
        <v>1.07</v>
      </c>
    </row>
  </sheetData>
  <mergeCells count="57">
    <mergeCell ref="E10:G10"/>
    <mergeCell ref="E13:G13"/>
    <mergeCell ref="M8:P8"/>
    <mergeCell ref="E55:F55"/>
    <mergeCell ref="E9:G9"/>
    <mergeCell ref="I12:K12"/>
    <mergeCell ref="A55:C55"/>
    <mergeCell ref="A12:C12"/>
    <mergeCell ref="H55:L55"/>
    <mergeCell ref="M14:P14"/>
    <mergeCell ref="E15:G15"/>
    <mergeCell ref="A1:Q1"/>
    <mergeCell ref="E6:G6"/>
    <mergeCell ref="M4:P4"/>
    <mergeCell ref="E11:G11"/>
    <mergeCell ref="A5:C5"/>
    <mergeCell ref="E3:H3"/>
    <mergeCell ref="I14:K14"/>
    <mergeCell ref="A8:C8"/>
    <mergeCell ref="I5:K5"/>
    <mergeCell ref="A14:C14"/>
    <mergeCell ref="I8:K8"/>
    <mergeCell ref="I4:K4"/>
    <mergeCell ref="A4:C4"/>
    <mergeCell ref="E7:G7"/>
    <mergeCell ref="M9:P9"/>
    <mergeCell ref="A10:C10"/>
    <mergeCell ref="M5:P5"/>
    <mergeCell ref="I10:K10"/>
    <mergeCell ref="A13:C13"/>
    <mergeCell ref="I13:K13"/>
    <mergeCell ref="I9:K9"/>
    <mergeCell ref="A2:Q2"/>
    <mergeCell ref="A9:C9"/>
    <mergeCell ref="M11:P11"/>
    <mergeCell ref="E12:G12"/>
    <mergeCell ref="M10:P10"/>
    <mergeCell ref="A15:C15"/>
    <mergeCell ref="M3:Q3"/>
    <mergeCell ref="I15:K15"/>
    <mergeCell ref="I6:K6"/>
    <mergeCell ref="I11:K11"/>
    <mergeCell ref="A11:C11"/>
    <mergeCell ref="E14:G14"/>
    <mergeCell ref="E5:G5"/>
    <mergeCell ref="I3:L3"/>
    <mergeCell ref="M13:P13"/>
    <mergeCell ref="M7:P7"/>
    <mergeCell ref="E8:G8"/>
    <mergeCell ref="A3:D3"/>
    <mergeCell ref="A6:C6"/>
    <mergeCell ref="M6:P6"/>
    <mergeCell ref="E4:G4"/>
    <mergeCell ref="M12:P12"/>
    <mergeCell ref="M15:P15"/>
    <mergeCell ref="A7:C7"/>
    <mergeCell ref="I7:K7"/>
  </mergeCells>
  <conditionalFormatting sqref="B22:B52">
    <cfRule type="cellIs" priority="5" operator="greaterThanOrEqual" dxfId="1">
      <formula>$D$9</formula>
    </cfRule>
  </conditionalFormatting>
  <conditionalFormatting sqref="D12">
    <cfRule type="cellIs" priority="6" operator="equal" dxfId="4">
      <formula>"DRIFT"</formula>
    </cfRule>
  </conditionalFormatting>
  <conditionalFormatting sqref="E18:E52">
    <cfRule type="cellIs" priority="1" operator="greaterThan" dxfId="3">
      <formula>0.05</formula>
    </cfRule>
    <cfRule type="cellIs" priority="2" operator="lessThan" dxfId="2">
      <formula>-0.05</formula>
    </cfRule>
  </conditionalFormatting>
  <conditionalFormatting sqref="M18:M52">
    <cfRule type="cellIs" priority="3" operator="greaterThanOrEqual" dxfId="1">
      <formula>3</formula>
    </cfRule>
    <cfRule type="cellIs" priority="4" operator="lessThanOrEqual" dxfId="0">
      <formula>-3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1"/>
  <sheetViews>
    <sheetView topLeftCell="A4" zoomScale="161" zoomScaleNormal="135" workbookViewId="0">
      <selection activeCell="I22" sqref="I22"/>
    </sheetView>
  </sheetViews>
  <sheetFormatPr baseColWidth="10" defaultColWidth="8.83203125" defaultRowHeight="15"/>
  <cols>
    <col width="6" customWidth="1" style="170" min="1" max="1"/>
    <col width="9.33203125" bestFit="1" customWidth="1" style="170" min="2" max="2"/>
    <col width="9.5" bestFit="1" customWidth="1" style="170" min="3" max="3"/>
    <col width="7.6640625" customWidth="1" style="170" min="4" max="4"/>
    <col width="4.6640625" bestFit="1" customWidth="1" style="170" min="5" max="5"/>
    <col width="8.5" customWidth="1" style="170" min="6" max="6"/>
    <col width="5.83203125" bestFit="1" customWidth="1" style="170" min="7" max="7"/>
    <col width="6.6640625" bestFit="1" customWidth="1" style="170" min="8" max="8"/>
    <col width="7.1640625" customWidth="1" style="170" min="9" max="9"/>
    <col width="6.1640625" bestFit="1" customWidth="1" style="170" min="10" max="10"/>
    <col width="7.1640625" customWidth="1" style="170" min="11" max="11"/>
    <col width="7.6640625" bestFit="1" customWidth="1" style="170" min="12" max="12"/>
    <col width="4.6640625" bestFit="1" customWidth="1" style="170" min="13" max="13"/>
    <col width="6.5" bestFit="1" customWidth="1" style="170" min="14" max="14"/>
    <col width="7.1640625" bestFit="1" customWidth="1" style="170" min="15" max="15"/>
    <col width="5.6640625" customWidth="1" style="170" min="16" max="16"/>
    <col width="7.6640625" customWidth="1" style="170" min="17" max="17"/>
    <col width="5.83203125" bestFit="1" customWidth="1" style="170" min="18" max="18"/>
    <col width="6.83203125" bestFit="1" customWidth="1" style="170" min="19" max="19"/>
    <col width="8.83203125" customWidth="1" style="170" min="20" max="20"/>
  </cols>
  <sheetData>
    <row r="1" ht="18" customHeight="1" s="170">
      <c r="A1" s="171" t="inlineStr">
        <is>
          <t>KXHMONTH-26SEP  —  “Will September 2026 be the hottest September ever?”</t>
        </is>
      </c>
    </row>
    <row r="2">
      <c r="A2" s="161" t="inlineStr">
        <is>
          <t>record 1.41, needs a 1.42 print   ·   ERA5 bar +0.92671/day   ·   fit 1990–2025, n=36   ·   settles Oct 8 2026 10:00 ET</t>
        </is>
      </c>
    </row>
    <row r="3">
      <c r="A3" s="172" t="inlineStr">
        <is>
          <t>CONTRACT &amp; TRANSLATION</t>
        </is>
      </c>
      <c r="E3" s="172" t="inlineStr">
        <is>
          <t>CURRENT STATE</t>
        </is>
      </c>
      <c r="I3" s="172" t="inlineStr">
        <is>
          <t>ENSEMBLE</t>
        </is>
      </c>
      <c r="M3" s="172" t="inlineStr">
        <is>
          <t>MARKET &amp; P&amp;L</t>
        </is>
      </c>
    </row>
    <row r="4">
      <c r="A4" s="167" t="inlineStr">
        <is>
          <t>Record (printed)</t>
        </is>
      </c>
      <c r="B4" s="154" t="n"/>
      <c r="C4" s="155" t="n"/>
      <c r="D4" s="107" t="n">
        <v>1.41</v>
      </c>
      <c r="E4" s="167" t="inlineStr">
        <is>
          <t>k  (days observed)</t>
        </is>
      </c>
      <c r="F4" s="154" t="n"/>
      <c r="G4" s="155" t="n"/>
      <c r="H4" s="108">
        <f>COUNT($B$22:$B$51)</f>
        <v/>
      </c>
      <c r="I4" s="167" t="inlineStr">
        <is>
          <t>Run</t>
        </is>
      </c>
      <c r="J4" s="154" t="n"/>
      <c r="K4" s="155" t="n"/>
      <c r="L4" s="109" t="inlineStr">
        <is>
          <t>—</t>
        </is>
      </c>
      <c r="M4" s="167" t="inlineStr">
        <is>
          <t>Side held</t>
        </is>
      </c>
      <c r="N4" s="154" t="n"/>
      <c r="O4" s="154" t="n"/>
      <c r="P4" s="155" t="n"/>
      <c r="Q4" s="110" t="n"/>
    </row>
    <row r="5">
      <c r="A5" s="167" t="inlineStr">
        <is>
          <t>Latent threshold</t>
        </is>
      </c>
      <c r="B5" s="154" t="n"/>
      <c r="C5" s="155" t="n"/>
      <c r="D5" s="111" t="n">
        <v>1.415</v>
      </c>
      <c r="E5" s="167" t="inlineStr">
        <is>
          <t>MTD mean</t>
        </is>
      </c>
      <c r="F5" s="154" t="n"/>
      <c r="G5" s="155" t="n"/>
      <c r="H5" s="112">
        <f>IF($H$4=0,"",AVERAGE($B$22:$B$51))</f>
        <v/>
      </c>
      <c r="I5" s="167" t="inlineStr">
        <is>
          <t>Members</t>
        </is>
      </c>
      <c r="J5" s="154" t="n"/>
      <c r="K5" s="155" t="n"/>
      <c r="L5" s="108" t="n"/>
      <c r="M5" s="167" t="inlineStr">
        <is>
          <t>Contracts</t>
        </is>
      </c>
      <c r="N5" s="154" t="n"/>
      <c r="O5" s="154" t="n"/>
      <c r="P5" s="155" t="n"/>
      <c r="Q5" s="113" t="n"/>
    </row>
    <row r="6">
      <c r="A6" s="167" t="inlineStr">
        <is>
          <t>a  (intercept)</t>
        </is>
      </c>
      <c r="B6" s="154" t="n"/>
      <c r="C6" s="155" t="n"/>
      <c r="D6" s="114" t="n">
        <v>0.6012</v>
      </c>
      <c r="E6" s="167" t="inlineStr">
        <is>
          <t>Needed /day over rest</t>
        </is>
      </c>
      <c r="F6" s="154" t="n"/>
      <c r="G6" s="155" t="n"/>
      <c r="H6" s="112">
        <f>IF(OR($H$4=0,$H$4&gt;=30),"",($D$9*30-SUM($B$22:$B$51))/(30-$H$4))</f>
        <v/>
      </c>
      <c r="I6" s="167" t="inlineStr">
        <is>
          <t>Coldest member</t>
        </is>
      </c>
      <c r="J6" s="154" t="n"/>
      <c r="K6" s="155" t="n"/>
      <c r="L6" s="112" t="n"/>
      <c r="M6" s="167" t="inlineStr">
        <is>
          <t>Avg entry ¢</t>
        </is>
      </c>
      <c r="N6" s="154" t="n"/>
      <c r="O6" s="154" t="n"/>
      <c r="P6" s="155" t="n"/>
      <c r="Q6" s="115" t="n"/>
    </row>
    <row r="7">
      <c r="A7" s="167" t="inlineStr">
        <is>
          <t>b  (slope)</t>
        </is>
      </c>
      <c r="B7" s="154" t="n"/>
      <c r="C7" s="155" t="n"/>
      <c r="D7" s="114" t="n">
        <v>0.8782</v>
      </c>
      <c r="E7" s="167" t="inlineStr">
        <is>
          <t>Assumed rate, remaining days</t>
        </is>
      </c>
      <c r="F7" s="154" t="n"/>
      <c r="G7" s="155" t="n"/>
      <c r="H7" s="116" t="n">
        <v>0.6704</v>
      </c>
      <c r="I7" s="167" t="inlineStr">
        <is>
          <t>Average member</t>
        </is>
      </c>
      <c r="J7" s="154" t="n"/>
      <c r="K7" s="155" t="n"/>
      <c r="L7" s="112" t="n"/>
      <c r="M7" s="167" t="inlineStr">
        <is>
          <t>Cost $</t>
        </is>
      </c>
      <c r="N7" s="154" t="n"/>
      <c r="O7" s="154" t="n"/>
      <c r="P7" s="155" t="n"/>
      <c r="Q7" s="117">
        <f>IF($Q$5="","",$Q$5*$Q$6/100)</f>
        <v/>
      </c>
    </row>
    <row r="8">
      <c r="A8" s="167" t="inlineStr">
        <is>
          <t>σ translation</t>
        </is>
      </c>
      <c r="B8" s="154" t="n"/>
      <c r="C8" s="155" t="n"/>
      <c r="D8" s="114" t="n">
        <v>0.039</v>
      </c>
      <c r="E8" s="167" t="inlineStr">
        <is>
          <t>Projected full-month ERA5</t>
        </is>
      </c>
      <c r="F8" s="154" t="n"/>
      <c r="G8" s="155" t="n"/>
      <c r="H8" s="112">
        <f>(SUM($B$22:$B$51)+(30-$H$4)*$H$7)/30</f>
        <v/>
      </c>
      <c r="I8" s="167" t="inlineStr">
        <is>
          <t>Hottest member</t>
        </is>
      </c>
      <c r="J8" s="154" t="n"/>
      <c r="K8" s="155" t="n"/>
      <c r="L8" s="112" t="n"/>
      <c r="M8" s="167" t="inlineStr">
        <is>
          <t>Fees paid $</t>
        </is>
      </c>
      <c r="N8" s="154" t="n"/>
      <c r="O8" s="154" t="n"/>
      <c r="P8" s="155" t="n"/>
      <c r="Q8" s="118" t="n"/>
    </row>
    <row r="9">
      <c r="A9" s="167" t="inlineStr">
        <is>
          <t>ERA5 bar (full month)</t>
        </is>
      </c>
      <c r="B9" s="154" t="n"/>
      <c r="C9" s="155" t="n"/>
      <c r="D9" s="119">
        <f>($D$5-$D$6)/$D$7</f>
        <v/>
      </c>
      <c r="E9" s="167" t="inlineStr">
        <is>
          <t>Projected NOAA μ</t>
        </is>
      </c>
      <c r="F9" s="154" t="n"/>
      <c r="G9" s="155" t="n"/>
      <c r="H9" s="111">
        <f>$D$6+$D$7*$H$8</f>
        <v/>
      </c>
      <c r="I9" s="167" t="inlineStr">
        <is>
          <t>Members breaching record</t>
        </is>
      </c>
      <c r="J9" s="154" t="n"/>
      <c r="K9" s="155" t="n"/>
      <c r="L9" s="109" t="n"/>
      <c r="M9" s="167" t="inlineStr">
        <is>
          <t>Settled</t>
        </is>
      </c>
      <c r="N9" s="154" t="n"/>
      <c r="O9" s="154" t="n"/>
      <c r="P9" s="155" t="n"/>
      <c r="Q9" s="110" t="n"/>
    </row>
    <row r="10">
      <c r="A10" s="167" t="inlineStr">
        <is>
          <t>σ_f  at k</t>
        </is>
      </c>
      <c r="B10" s="154" t="n"/>
      <c r="C10" s="155" t="n"/>
      <c r="D10" s="114">
        <f>IFERROR(INDEX($F$56:$F$86,MATCH($H$4,$E$56:$E$86,0)),$D$8)</f>
        <v/>
      </c>
      <c r="E10" s="167" t="inlineStr">
        <is>
          <t>P(YES) — sheet</t>
        </is>
      </c>
      <c r="F10" s="154" t="n"/>
      <c r="G10" s="155" t="n"/>
      <c r="H10" s="120">
        <f>1-NORMDIST($D$5,$H$9,$D$11,TRUE)</f>
        <v/>
      </c>
      <c r="I10" s="167" t="inlineStr">
        <is>
          <t>Ensemble P(YES)</t>
        </is>
      </c>
      <c r="J10" s="154" t="n"/>
      <c r="K10" s="155" t="n"/>
      <c r="L10" s="121" t="n"/>
      <c r="M10" s="167" t="inlineStr">
        <is>
          <t>Payout $</t>
        </is>
      </c>
      <c r="N10" s="154" t="n"/>
      <c r="O10" s="154" t="n"/>
      <c r="P10" s="155" t="n"/>
      <c r="Q10" s="117">
        <f>IF(OR($Q$9="",$Q$4=""),"",IF(UPPER($Q$9)=UPPER($Q$4),$Q$5,0))</f>
        <v/>
      </c>
    </row>
    <row r="11">
      <c r="A11" s="167" t="inlineStr">
        <is>
          <t>σ total</t>
        </is>
      </c>
      <c r="B11" s="154" t="n"/>
      <c r="C11" s="155" t="n"/>
      <c r="D11" s="114">
        <f>SQRT(($D$7*$D$10)^2+$D$8^2)</f>
        <v/>
      </c>
      <c r="E11" s="167" t="inlineStr">
        <is>
          <t>P(YES) — pipeline</t>
        </is>
      </c>
      <c r="F11" s="154" t="n"/>
      <c r="G11" s="155" t="n"/>
      <c r="H11" s="121" t="n"/>
      <c r="I11" s="167" t="inlineStr">
        <is>
          <t>dev3 (latest)</t>
        </is>
      </c>
      <c r="J11" s="154" t="n"/>
      <c r="K11" s="155" t="n"/>
      <c r="L11" s="112">
        <f>IFERROR(LOOKUP(9.99E+307,$E$18:$E$51),"")</f>
        <v/>
      </c>
      <c r="M11" s="168" t="inlineStr">
        <is>
          <t>Realised P&amp;L $</t>
        </is>
      </c>
      <c r="N11" s="154" t="n"/>
      <c r="O11" s="154" t="n"/>
      <c r="P11" s="155" t="n"/>
      <c r="Q11" s="117">
        <f>IF($Q$10="","",$Q$10-$Q$7-IF($Q$8="",0,$Q$8))</f>
        <v/>
      </c>
    </row>
    <row r="12">
      <c r="A12" s="167" t="inlineStr">
        <is>
          <t>Fit check</t>
        </is>
      </c>
      <c r="B12" s="154" t="n"/>
      <c r="C12" s="155" t="n"/>
      <c r="D12" s="109">
        <f>IF(AND(ABS(SLOPE($C$56:$C$91,$B$56:$B$91)-$D$7)&lt;0.0005,ABS(INTERCEPT($C$56:$C$91,$B$56:$B$91)-$D$6)&lt;0.0005,ABS(STEYX($C$56:$C$91,$B$56:$B$91)-$D$8)&lt;0.0005),"OK","DRIFT")</f>
        <v/>
      </c>
      <c r="E12" s="168" t="inlineStr">
        <is>
          <t>P(YES) used</t>
        </is>
      </c>
      <c r="F12" s="154" t="n"/>
      <c r="G12" s="155" t="n"/>
      <c r="H12" s="120">
        <f>IF($H$11="",$H$10,$H$11)</f>
        <v/>
      </c>
      <c r="I12" s="167" t="inlineStr">
        <is>
          <t>Spike signal</t>
        </is>
      </c>
      <c r="J12" s="154" t="n"/>
      <c r="K12" s="155" t="n"/>
      <c r="L12" s="109">
        <f>IF($L$11="","",IF($L$11&gt;0.05,"WARM · YES↑",IF($L$11&lt;-0.05,"COLD · YES↓","quiet")))</f>
        <v/>
      </c>
      <c r="M12" s="168" t="inlineStr">
        <is>
          <t>ROI %</t>
        </is>
      </c>
      <c r="N12" s="154" t="n"/>
      <c r="O12" s="154" t="n"/>
      <c r="P12" s="155" t="n"/>
      <c r="Q12" s="120">
        <f>IF(OR($Q$11="",$Q$7=""),"",$Q$11/$Q$7)</f>
        <v/>
      </c>
    </row>
    <row r="13">
      <c r="A13" s="167" t="inlineStr">
        <is>
          <t>GISTEMP record</t>
        </is>
      </c>
      <c r="B13" s="154" t="n"/>
      <c r="C13" s="155" t="n"/>
      <c r="D13" s="107" t="n">
        <v>1.48</v>
      </c>
      <c r="E13" s="168" t="inlineStr">
        <is>
          <t>Fair NO ¢</t>
        </is>
      </c>
      <c r="F13" s="154" t="n"/>
      <c r="G13" s="155" t="n"/>
      <c r="H13" s="122">
        <f>100*(1-$H$12)</f>
        <v/>
      </c>
      <c r="I13" s="167" t="inlineStr">
        <is>
          <t>Bias — 2026 mean residual</t>
        </is>
      </c>
      <c r="J13" s="154" t="n"/>
      <c r="K13" s="155" t="n"/>
      <c r="L13" s="123" t="n">
        <v>0.0224</v>
      </c>
      <c r="M13" s="167" t="inlineStr">
        <is>
          <t>Risk cap $ / market</t>
        </is>
      </c>
      <c r="N13" s="154" t="n"/>
      <c r="O13" s="154" t="n"/>
      <c r="P13" s="155" t="n"/>
      <c r="Q13" s="124" t="n">
        <v>300</v>
      </c>
    </row>
    <row r="14">
      <c r="A14" s="167" t="inlineStr">
        <is>
          <t>GISTEMP threshold</t>
        </is>
      </c>
      <c r="B14" s="154" t="n"/>
      <c r="C14" s="155" t="n"/>
      <c r="D14" s="111" t="n">
        <v>1.485</v>
      </c>
      <c r="E14" s="168" t="inlineStr">
        <is>
          <t>Edge on NO ¢</t>
        </is>
      </c>
      <c r="F14" s="154" t="n"/>
      <c r="G14" s="155" t="n"/>
      <c r="H14" s="122">
        <f>IF(COUNT($L$18:$L$51)=0,"",LOOKUP(9.99E+307,$L$18:$L$51)-100*$H$12)</f>
        <v/>
      </c>
      <c r="I14" s="167" t="inlineStr">
        <is>
          <t>Apply bias to μ?</t>
        </is>
      </c>
      <c r="J14" s="154" t="n"/>
      <c r="K14" s="155" t="n"/>
      <c r="L14" s="125" t="inlineStr">
        <is>
          <t>N</t>
        </is>
      </c>
      <c r="M14" s="167" t="inlineStr">
        <is>
          <t>Book depth at touch $</t>
        </is>
      </c>
      <c r="N14" s="154" t="n"/>
      <c r="O14" s="154" t="n"/>
      <c r="P14" s="155" t="n"/>
      <c r="Q14" s="118" t="n"/>
    </row>
    <row r="15">
      <c r="A15" s="167" t="inlineStr">
        <is>
          <t>ONI (CPC)</t>
        </is>
      </c>
      <c r="B15" s="154" t="n"/>
      <c r="C15" s="155" t="n"/>
      <c r="D15" s="115" t="n">
        <v>1</v>
      </c>
      <c r="E15" s="168" t="inlineStr">
        <is>
          <t>Verdict</t>
        </is>
      </c>
      <c r="F15" s="154" t="n"/>
      <c r="G15" s="155" t="n"/>
      <c r="H15" s="109">
        <f>IF($H$14="","",IF($H$14&gt;=3,"NO CHEAP",IF($H$14&lt;=-3,"NO RICH","FAIR")))</f>
        <v/>
      </c>
      <c r="I15" s="167" t="inlineStr">
        <is>
          <t>μ with bias</t>
        </is>
      </c>
      <c r="J15" s="154" t="n"/>
      <c r="K15" s="155" t="n"/>
      <c r="L15" s="111">
        <f>IF(UPPER($L$14)="Y",$H$9+$L$13,$H$9)</f>
        <v/>
      </c>
      <c r="M15" s="167" t="inlineStr">
        <is>
          <t>Exposure vs cap</t>
        </is>
      </c>
      <c r="N15" s="154" t="n"/>
      <c r="O15" s="154" t="n"/>
      <c r="P15" s="155" t="n"/>
      <c r="Q15" s="120">
        <f>IF($Q$7="","",$Q$7/$Q$13)</f>
        <v/>
      </c>
    </row>
    <row r="17">
      <c r="A17" s="177" t="inlineStr">
        <is>
          <t>Date</t>
        </is>
      </c>
      <c r="B17" s="178" t="inlineStr">
        <is>
          <t>Actual °C</t>
        </is>
      </c>
      <c r="C17" s="176" t="inlineStr">
        <is>
          <t>Expectation</t>
        </is>
      </c>
      <c r="D17" s="126" t="inlineStr">
        <is>
          <t>Dev</t>
        </is>
      </c>
      <c r="E17" s="126" t="inlineStr">
        <is>
          <t>Dev3</t>
        </is>
      </c>
      <c r="F17" s="126" t="inlineStr">
        <is>
          <t>MTD mean</t>
        </is>
      </c>
      <c r="G17" s="126" t="inlineStr">
        <is>
          <t>2024</t>
        </is>
      </c>
      <c r="H17" s="126" t="inlineStr">
        <is>
          <t>2023</t>
        </is>
      </c>
      <c r="I17" s="126" t="inlineStr">
        <is>
          <t>Needed</t>
        </is>
      </c>
      <c r="J17" s="126" t="inlineStr">
        <is>
          <t>P(YES)</t>
        </is>
      </c>
      <c r="K17" s="126" t="inlineStr">
        <is>
          <t>Fair NO</t>
        </is>
      </c>
      <c r="L17" s="126" t="inlineStr">
        <is>
          <t>Mkt YES</t>
        </is>
      </c>
      <c r="M17" s="126" t="inlineStr">
        <is>
          <t>Edge</t>
        </is>
      </c>
      <c r="N17" s="126" t="inlineStr">
        <is>
          <t>Volume</t>
        </is>
      </c>
      <c r="O17" s="126" t="inlineStr">
        <is>
          <t>Open int</t>
        </is>
      </c>
      <c r="P17" s="126" t="inlineStr">
        <is>
          <t>Signal</t>
        </is>
      </c>
      <c r="Q17" s="126" t="inlineStr">
        <is>
          <t>Note</t>
        </is>
      </c>
      <c r="R17" s="126" t="inlineStr">
        <is>
          <t>Pace</t>
        </is>
      </c>
      <c r="S17" s="126" t="inlineStr">
        <is>
          <t>Model ¢</t>
        </is>
      </c>
    </row>
    <row r="18">
      <c r="A18" s="127" t="inlineStr">
        <is>
          <t>Aug 28</t>
        </is>
      </c>
      <c r="B18" s="175" t="n"/>
      <c r="C18" s="128" t="n"/>
      <c r="D18" s="129">
        <f>IF(OR($B18="",$C18=""),"",$B18-$C18)</f>
        <v/>
      </c>
      <c r="E18" s="129">
        <f>IF(COUNT($D16:$D18)&lt;3,"",AVERAGE($D16:$D18))</f>
        <v/>
      </c>
      <c r="F18" s="129" t="n"/>
      <c r="G18" s="129" t="n">
        <v>0.791</v>
      </c>
      <c r="H18" s="129" t="n">
        <v>0.739</v>
      </c>
      <c r="I18" s="129" t="n"/>
      <c r="J18" s="130" t="n"/>
      <c r="K18" s="131">
        <f>IF($J18="","",100*(1-$J18))</f>
        <v/>
      </c>
      <c r="L18" s="132" t="n"/>
      <c r="M18" s="131">
        <f>IF(OR($J18="",$L18=""),"",$L18-100*$J18)</f>
        <v/>
      </c>
      <c r="N18" s="133" t="n"/>
      <c r="O18" s="133" t="n"/>
      <c r="P18" s="134">
        <f>IF($E18="","",IF($E18&gt;0.05,"WARM dev3 — spike risk UP",IF($E18&lt;-0.05,"COLD dev3 — spike risk DOWN","")))</f>
        <v/>
      </c>
      <c r="Q18" s="135" t="n"/>
      <c r="R18" s="129" t="n"/>
      <c r="S18" s="131">
        <f>IF($J18="","",$J18*100)</f>
        <v/>
      </c>
    </row>
    <row r="19">
      <c r="A19" s="127" t="inlineStr">
        <is>
          <t>Aug 29</t>
        </is>
      </c>
      <c r="B19" s="128" t="n"/>
      <c r="C19" s="128" t="n"/>
      <c r="D19" s="129">
        <f>IF(OR($B19="",$C19=""),"",$B19-$C19)</f>
        <v/>
      </c>
      <c r="E19" s="129">
        <f>IF(COUNT($D17:$D19)&lt;3,"",AVERAGE($D17:$D19))</f>
        <v/>
      </c>
      <c r="F19" s="129" t="n"/>
      <c r="G19" s="129" t="n">
        <v>0.791</v>
      </c>
      <c r="H19" s="129" t="n">
        <v>0.779</v>
      </c>
      <c r="I19" s="129" t="n"/>
      <c r="J19" s="130" t="n"/>
      <c r="K19" s="131">
        <f>IF($J19="","",100*(1-$J19))</f>
        <v/>
      </c>
      <c r="L19" s="132" t="n"/>
      <c r="M19" s="131">
        <f>IF(OR($J19="",$L19=""),"",$L19-100*$J19)</f>
        <v/>
      </c>
      <c r="N19" s="133" t="n"/>
      <c r="O19" s="133" t="n"/>
      <c r="P19" s="134">
        <f>IF($E19="","",IF($E19&gt;0.05,"WARM dev3 — spike risk UP",IF($E19&lt;-0.05,"COLD dev3 — spike risk DOWN","")))</f>
        <v/>
      </c>
      <c r="Q19" s="135" t="n"/>
      <c r="R19" s="129" t="n"/>
      <c r="S19" s="131">
        <f>IF($J19="","",$J19*100)</f>
        <v/>
      </c>
    </row>
    <row r="20">
      <c r="A20" s="127" t="inlineStr">
        <is>
          <t>Aug 30</t>
        </is>
      </c>
      <c r="B20" s="128" t="n"/>
      <c r="C20" s="128" t="n"/>
      <c r="D20" s="129">
        <f>IF(OR($B20="",$C20=""),"",$B20-$C20)</f>
        <v/>
      </c>
      <c r="E20" s="129">
        <f>IF(COUNT($D18:$D20)&lt;3,"",AVERAGE($D18:$D20))</f>
        <v/>
      </c>
      <c r="F20" s="129" t="n"/>
      <c r="G20" s="129" t="n">
        <v>0.799</v>
      </c>
      <c r="H20" s="129" t="n">
        <v>0.761</v>
      </c>
      <c r="I20" s="129" t="n"/>
      <c r="J20" s="130" t="n"/>
      <c r="K20" s="131">
        <f>IF($J20="","",100*(1-$J20))</f>
        <v/>
      </c>
      <c r="L20" s="132" t="n"/>
      <c r="M20" s="131">
        <f>IF(OR($J20="",$L20=""),"",$L20-100*$J20)</f>
        <v/>
      </c>
      <c r="N20" s="133" t="n"/>
      <c r="O20" s="133" t="n"/>
      <c r="P20" s="134">
        <f>IF($E20="","",IF($E20&gt;0.05,"WARM dev3 — spike risk UP",IF($E20&lt;-0.05,"COLD dev3 — spike risk DOWN","")))</f>
        <v/>
      </c>
      <c r="Q20" s="135" t="n"/>
      <c r="R20" s="129" t="n"/>
      <c r="S20" s="131">
        <f>IF($J20="","",$J20*100)</f>
        <v/>
      </c>
    </row>
    <row r="21">
      <c r="A21" s="127" t="inlineStr">
        <is>
          <t>Aug 31</t>
        </is>
      </c>
      <c r="B21" s="128" t="n"/>
      <c r="C21" s="128" t="n"/>
      <c r="D21" s="129">
        <f>IF(OR($B21="",$C21=""),"",$B21-$C21)</f>
        <v/>
      </c>
      <c r="E21" s="129">
        <f>IF(COUNT($D19:$D21)&lt;3,"",AVERAGE($D19:$D21))</f>
        <v/>
      </c>
      <c r="F21" s="129" t="n"/>
      <c r="G21" s="129" t="n">
        <v>0.783</v>
      </c>
      <c r="H21" s="129" t="n">
        <v>0.699</v>
      </c>
      <c r="I21" s="129" t="n"/>
      <c r="J21" s="130" t="n"/>
      <c r="K21" s="131">
        <f>IF($J21="","",100*(1-$J21))</f>
        <v/>
      </c>
      <c r="L21" s="132" t="n"/>
      <c r="M21" s="131">
        <f>IF(OR($J21="",$L21=""),"",$L21-100*$J21)</f>
        <v/>
      </c>
      <c r="N21" s="133" t="n"/>
      <c r="O21" s="133" t="n"/>
      <c r="P21" s="134">
        <f>IF($E21="","",IF($E21&gt;0.05,"WARM dev3 — spike risk UP",IF($E21&lt;-0.05,"COLD dev3 — spike risk DOWN","")))</f>
        <v/>
      </c>
      <c r="Q21" s="135" t="n"/>
      <c r="R21" s="129" t="n"/>
      <c r="S21" s="131">
        <f>IF($J21="","",$J21*100)</f>
        <v/>
      </c>
    </row>
    <row r="22">
      <c r="A22" s="136" t="inlineStr">
        <is>
          <t>Sep 01</t>
        </is>
      </c>
      <c r="B22" s="137" t="n"/>
      <c r="C22" s="137" t="n"/>
      <c r="D22" s="138">
        <f>IF(OR($B22="",$C22=""),"",$B22-$C22)</f>
        <v/>
      </c>
      <c r="E22" s="138">
        <f>IF(COUNT($D20:$D22)&lt;3,"",AVERAGE($D20:$D22))</f>
        <v/>
      </c>
      <c r="F22" s="138">
        <f>IF($B22="","",AVERAGE($B$22:$B22))</f>
        <v/>
      </c>
      <c r="G22" s="138" t="n">
        <v>0.789</v>
      </c>
      <c r="H22" s="138" t="n">
        <v>0.717</v>
      </c>
      <c r="I22" s="138" t="n"/>
      <c r="J22" s="139">
        <f>IF($B22="","",1-NORMDIST($D$5,$D$6+$D$7*((SUM($B$22:$B22)+(30-1)*$H$7)/30),$D$11,TRUE))</f>
        <v/>
      </c>
      <c r="K22" s="140">
        <f>IF($J22="","",100*(1-$J22))</f>
        <v/>
      </c>
      <c r="L22" s="141" t="n"/>
      <c r="M22" s="140">
        <f>IF(OR($J22="",$L22=""),"",$L22-100*$J22)</f>
        <v/>
      </c>
      <c r="N22" s="142" t="n"/>
      <c r="O22" s="142" t="n"/>
      <c r="P22" s="143">
        <f>IF($E22="","",IF($E22&gt;0.05,"WARM dev3 — spike risk UP",IF($E22&lt;-0.05,"COLD dev3 — spike risk DOWN","")))</f>
        <v/>
      </c>
      <c r="Q22" s="144" t="n"/>
      <c r="R22" s="138">
        <f>$D$9</f>
        <v/>
      </c>
      <c r="S22" s="140">
        <f>IF($J22="","",$J22*100)</f>
        <v/>
      </c>
    </row>
    <row r="23">
      <c r="A23" s="136" t="inlineStr">
        <is>
          <t>Sep 02</t>
        </is>
      </c>
      <c r="B23" s="137" t="n"/>
      <c r="C23" s="137" t="n"/>
      <c r="D23" s="138">
        <f>IF(OR($B23="",$C23=""),"",$B23-$C23)</f>
        <v/>
      </c>
      <c r="E23" s="138">
        <f>IF(COUNT($D21:$D23)&lt;3,"",AVERAGE($D21:$D23))</f>
        <v/>
      </c>
      <c r="F23" s="138">
        <f>IF($B23="","",AVERAGE($B$22:$B23))</f>
        <v/>
      </c>
      <c r="G23" s="138" t="n">
        <v>0.7955</v>
      </c>
      <c r="H23" s="138" t="n">
        <v>0.7285</v>
      </c>
      <c r="I23" s="138">
        <f>IF(OR($B23="",2&gt;=30),"",($D$9*30-SUM($B$22:$B23))/(30-2))</f>
        <v/>
      </c>
      <c r="J23" s="139">
        <f>IF($B23="","",1-NORMDIST($D$5,$D$6+$D$7*((SUM($B$22:$B23)+(30-2)*$H$7)/30),$D$11,TRUE))</f>
        <v/>
      </c>
      <c r="K23" s="140">
        <f>IF($J23="","",100*(1-$J23))</f>
        <v/>
      </c>
      <c r="L23" s="141" t="n"/>
      <c r="M23" s="140">
        <f>IF(OR($J23="",$L23=""),"",$L23-100*$J23)</f>
        <v/>
      </c>
      <c r="N23" s="142" t="n"/>
      <c r="O23" s="142" t="n"/>
      <c r="P23" s="143">
        <f>IF($E23="","",IF($E23&gt;0.05,"WARM dev3 — spike risk UP",IF($E23&lt;-0.05,"COLD dev3 — spike risk DOWN","")))</f>
        <v/>
      </c>
      <c r="Q23" s="144" t="n"/>
      <c r="R23" s="138">
        <f>$D$9</f>
        <v/>
      </c>
      <c r="S23" s="140">
        <f>IF($J23="","",$J23*100)</f>
        <v/>
      </c>
    </row>
    <row r="24">
      <c r="A24" s="136" t="inlineStr">
        <is>
          <t>Sep 03</t>
        </is>
      </c>
      <c r="B24" s="137" t="n"/>
      <c r="C24" s="137" t="n"/>
      <c r="D24" s="138">
        <f>IF(OR($B24="",$C24=""),"",$B24-$C24)</f>
        <v/>
      </c>
      <c r="E24" s="138">
        <f>IF(COUNT($D22:$D24)&lt;3,"",AVERAGE($D22:$D24))</f>
        <v/>
      </c>
      <c r="F24" s="138">
        <f>IF($B24="","",AVERAGE($B$22:$B24))</f>
        <v/>
      </c>
      <c r="G24" s="138" t="n">
        <v>0.786</v>
      </c>
      <c r="H24" s="138" t="n">
        <v>0.715</v>
      </c>
      <c r="I24" s="138">
        <f>IF(OR($B24="",3&gt;=30),"",($D$9*30-SUM($B$22:$B24))/(30-3))</f>
        <v/>
      </c>
      <c r="J24" s="139">
        <f>IF($B24="","",1-NORMDIST($D$5,$D$6+$D$7*((SUM($B$22:$B24)+(30-3)*$H$7)/30),$D$11,TRUE))</f>
        <v/>
      </c>
      <c r="K24" s="140">
        <f>IF($J24="","",100*(1-$J24))</f>
        <v/>
      </c>
      <c r="L24" s="141" t="n"/>
      <c r="M24" s="140">
        <f>IF(OR($J24="",$L24=""),"",$L24-100*$J24)</f>
        <v/>
      </c>
      <c r="N24" s="142" t="n"/>
      <c r="O24" s="142" t="n"/>
      <c r="P24" s="143">
        <f>IF($E24="","",IF($E24&gt;0.05,"WARM dev3 — spike risk UP",IF($E24&lt;-0.05,"COLD dev3 — spike risk DOWN","")))</f>
        <v/>
      </c>
      <c r="Q24" s="144" t="n"/>
      <c r="R24" s="138">
        <f>$D$9</f>
        <v/>
      </c>
      <c r="S24" s="140">
        <f>IF($J24="","",$J24*100)</f>
        <v/>
      </c>
    </row>
    <row r="25">
      <c r="A25" s="136" t="inlineStr">
        <is>
          <t>Sep 04</t>
        </is>
      </c>
      <c r="B25" s="137" t="n"/>
      <c r="C25" s="137" t="n"/>
      <c r="D25" s="138">
        <f>IF(OR($B25="",$C25=""),"",$B25-$C25)</f>
        <v/>
      </c>
      <c r="E25" s="138">
        <f>IF(COUNT($D23:$D25)&lt;3,"",AVERAGE($D23:$D25))</f>
        <v/>
      </c>
      <c r="F25" s="138">
        <f>IF($B25="","",AVERAGE($B$22:$B25))</f>
        <v/>
      </c>
      <c r="G25" s="138" t="n">
        <v>0.7655</v>
      </c>
      <c r="H25" s="138" t="n">
        <v>0.7005</v>
      </c>
      <c r="I25" s="138">
        <f>IF(OR($B25="",4&gt;=30),"",($D$9*30-SUM($B$22:$B25))/(30-4))</f>
        <v/>
      </c>
      <c r="J25" s="139">
        <f>IF($B25="","",1-NORMDIST($D$5,$D$6+$D$7*((SUM($B$22:$B25)+(30-4)*$H$7)/30),$D$11,TRUE))</f>
        <v/>
      </c>
      <c r="K25" s="140">
        <f>IF($J25="","",100*(1-$J25))</f>
        <v/>
      </c>
      <c r="L25" s="141" t="n"/>
      <c r="M25" s="140">
        <f>IF(OR($J25="",$L25=""),"",$L25-100*$J25)</f>
        <v/>
      </c>
      <c r="N25" s="142" t="n"/>
      <c r="O25" s="142" t="n"/>
      <c r="P25" s="143">
        <f>IF($E25="","",IF($E25&gt;0.05,"WARM dev3 — spike risk UP",IF($E25&lt;-0.05,"COLD dev3 — spike risk DOWN","")))</f>
        <v/>
      </c>
      <c r="Q25" s="144" t="n"/>
      <c r="R25" s="138">
        <f>$D$9</f>
        <v/>
      </c>
      <c r="S25" s="140">
        <f>IF($J25="","",$J25*100)</f>
        <v/>
      </c>
    </row>
    <row r="26">
      <c r="A26" s="136" t="inlineStr">
        <is>
          <t>Sep 05</t>
        </is>
      </c>
      <c r="B26" s="137" t="n"/>
      <c r="C26" s="137" t="n"/>
      <c r="D26" s="138">
        <f>IF(OR($B26="",$C26=""),"",$B26-$C26)</f>
        <v/>
      </c>
      <c r="E26" s="138">
        <f>IF(COUNT($D24:$D26)&lt;3,"",AVERAGE($D24:$D26))</f>
        <v/>
      </c>
      <c r="F26" s="138">
        <f>IF($B26="","",AVERAGE($B$22:$B26))</f>
        <v/>
      </c>
      <c r="G26" s="138" t="n">
        <v>0.744</v>
      </c>
      <c r="H26" s="138" t="n">
        <v>0.6909999999999999</v>
      </c>
      <c r="I26" s="138">
        <f>IF(OR($B26="",5&gt;=30),"",($D$9*30-SUM($B$22:$B26))/(30-5))</f>
        <v/>
      </c>
      <c r="J26" s="139">
        <f>IF($B26="","",1-NORMDIST($D$5,$D$6+$D$7*((SUM($B$22:$B26)+(30-5)*$H$7)/30),$D$11,TRUE))</f>
        <v/>
      </c>
      <c r="K26" s="140">
        <f>IF($J26="","",100*(1-$J26))</f>
        <v/>
      </c>
      <c r="L26" s="141" t="n"/>
      <c r="M26" s="140">
        <f>IF(OR($J26="",$L26=""),"",$L26-100*$J26)</f>
        <v/>
      </c>
      <c r="N26" s="142" t="n"/>
      <c r="O26" s="142" t="n"/>
      <c r="P26" s="143">
        <f>IF($E26="","",IF($E26&gt;0.05,"WARM dev3 — spike risk UP",IF($E26&lt;-0.05,"COLD dev3 — spike risk DOWN","")))</f>
        <v/>
      </c>
      <c r="Q26" s="144" t="n"/>
      <c r="R26" s="138">
        <f>$D$9</f>
        <v/>
      </c>
      <c r="S26" s="140">
        <f>IF($J26="","",$J26*100)</f>
        <v/>
      </c>
    </row>
    <row r="27">
      <c r="A27" s="136" t="inlineStr">
        <is>
          <t>Sep 06</t>
        </is>
      </c>
      <c r="B27" s="137" t="n"/>
      <c r="C27" s="137" t="n"/>
      <c r="D27" s="138">
        <f>IF(OR($B27="",$C27=""),"",$B27-$C27)</f>
        <v/>
      </c>
      <c r="E27" s="138">
        <f>IF(COUNT($D25:$D27)&lt;3,"",AVERAGE($D25:$D27))</f>
        <v/>
      </c>
      <c r="F27" s="138">
        <f>IF($B27="","",AVERAGE($B$22:$B27))</f>
        <v/>
      </c>
      <c r="G27" s="138" t="n">
        <v>0.729</v>
      </c>
      <c r="H27" s="138" t="n">
        <v>0.6995</v>
      </c>
      <c r="I27" s="138">
        <f>IF(OR($B27="",6&gt;=30),"",($D$9*30-SUM($B$22:$B27))/(30-6))</f>
        <v/>
      </c>
      <c r="J27" s="139">
        <f>IF($B27="","",1-NORMDIST($D$5,$D$6+$D$7*((SUM($B$22:$B27)+(30-6)*$H$7)/30),$D$11,TRUE))</f>
        <v/>
      </c>
      <c r="K27" s="140">
        <f>IF($J27="","",100*(1-$J27))</f>
        <v/>
      </c>
      <c r="L27" s="141" t="n"/>
      <c r="M27" s="140">
        <f>IF(OR($J27="",$L27=""),"",$L27-100*$J27)</f>
        <v/>
      </c>
      <c r="N27" s="142" t="n"/>
      <c r="O27" s="142" t="n"/>
      <c r="P27" s="143">
        <f>IF($E27="","",IF($E27&gt;0.05,"WARM dev3 — spike risk UP",IF($E27&lt;-0.05,"COLD dev3 — spike risk DOWN","")))</f>
        <v/>
      </c>
      <c r="Q27" s="144" t="n"/>
      <c r="R27" s="138">
        <f>$D$9</f>
        <v/>
      </c>
      <c r="S27" s="140">
        <f>IF($J27="","",$J27*100)</f>
        <v/>
      </c>
    </row>
    <row r="28">
      <c r="A28" s="136" t="inlineStr">
        <is>
          <t>Sep 07</t>
        </is>
      </c>
      <c r="B28" s="137" t="n"/>
      <c r="C28" s="137" t="n"/>
      <c r="D28" s="138">
        <f>IF(OR($B28="",$C28=""),"",$B28-$C28)</f>
        <v/>
      </c>
      <c r="E28" s="138">
        <f>IF(COUNT($D26:$D28)&lt;3,"",AVERAGE($D26:$D28))</f>
        <v/>
      </c>
      <c r="F28" s="138">
        <f>IF($B28="","",AVERAGE($B$22:$B28))</f>
        <v/>
      </c>
      <c r="G28" s="138" t="n">
        <v>0.7282999999999999</v>
      </c>
      <c r="H28" s="138" t="n">
        <v>0.7099</v>
      </c>
      <c r="I28" s="138">
        <f>IF(OR($B28="",7&gt;=30),"",($D$9*30-SUM($B$22:$B28))/(30-7))</f>
        <v/>
      </c>
      <c r="J28" s="139">
        <f>IF($B28="","",1-NORMDIST($D$5,$D$6+$D$7*((SUM($B$22:$B28)+(30-7)*$H$7)/30),$D$11,TRUE))</f>
        <v/>
      </c>
      <c r="K28" s="140">
        <f>IF($J28="","",100*(1-$J28))</f>
        <v/>
      </c>
      <c r="L28" s="141" t="n"/>
      <c r="M28" s="140">
        <f>IF(OR($J28="",$L28=""),"",$L28-100*$J28)</f>
        <v/>
      </c>
      <c r="N28" s="142" t="n"/>
      <c r="O28" s="142" t="n"/>
      <c r="P28" s="143">
        <f>IF($E28="","",IF($E28&gt;0.05,"WARM dev3 — spike risk UP",IF($E28&lt;-0.05,"COLD dev3 — spike risk DOWN","")))</f>
        <v/>
      </c>
      <c r="Q28" s="144" t="n"/>
      <c r="R28" s="138">
        <f>$D$9</f>
        <v/>
      </c>
      <c r="S28" s="140">
        <f>IF($J28="","",$J28*100)</f>
        <v/>
      </c>
    </row>
    <row r="29">
      <c r="A29" s="136" t="inlineStr">
        <is>
          <t>Sep 08</t>
        </is>
      </c>
      <c r="B29" s="137" t="n"/>
      <c r="C29" s="137" t="n"/>
      <c r="D29" s="138">
        <f>IF(OR($B29="",$C29=""),"",$B29-$C29)</f>
        <v/>
      </c>
      <c r="E29" s="138">
        <f>IF(COUNT($D27:$D29)&lt;3,"",AVERAGE($D27:$D29))</f>
        <v/>
      </c>
      <c r="F29" s="174">
        <f>IF($B29="","",AVERAGE($B$22:$B29))</f>
        <v/>
      </c>
      <c r="G29" s="138" t="n">
        <v>0.7311</v>
      </c>
      <c r="H29" s="138" t="n">
        <v>0.7181</v>
      </c>
      <c r="I29" s="138">
        <f>IF(OR($B29="",8&gt;=30),"",($D$9*30-SUM($B$22:$B29))/(30-8))</f>
        <v/>
      </c>
      <c r="J29" s="139">
        <f>IF($B29="","",1-NORMDIST($D$5,$D$6+$D$7*((SUM($B$22:$B29)+(30-8)*$H$7)/30),$D$11,TRUE))</f>
        <v/>
      </c>
      <c r="K29" s="140">
        <f>IF($J29="","",100*(1-$J29))</f>
        <v/>
      </c>
      <c r="L29" s="141" t="n"/>
      <c r="M29" s="140">
        <f>IF(OR($J29="",$L29=""),"",$L29-100*$J29)</f>
        <v/>
      </c>
      <c r="N29" s="142" t="n"/>
      <c r="O29" s="142" t="n"/>
      <c r="P29" s="143">
        <f>IF($E29="","",IF($E29&gt;0.05,"WARM dev3 — spike risk UP",IF($E29&lt;-0.05,"COLD dev3 — spike risk DOWN","")))</f>
        <v/>
      </c>
      <c r="Q29" s="144" t="n"/>
      <c r="R29" s="138">
        <f>$D$9</f>
        <v/>
      </c>
      <c r="S29" s="140">
        <f>IF($J29="","",$J29*100)</f>
        <v/>
      </c>
    </row>
    <row r="30">
      <c r="A30" s="136" t="inlineStr">
        <is>
          <t>Sep 09</t>
        </is>
      </c>
      <c r="B30" s="137" t="n"/>
      <c r="C30" s="137" t="n"/>
      <c r="D30" s="138">
        <f>IF(OR($B30="",$C30=""),"",$B30-$C30)</f>
        <v/>
      </c>
      <c r="E30" s="138">
        <f>IF(COUNT($D28:$D30)&lt;3,"",AVERAGE($D28:$D30))</f>
        <v/>
      </c>
      <c r="F30" s="173">
        <f>IF($B30="","",AVERAGE($B$22:$B30))</f>
        <v/>
      </c>
      <c r="G30" s="138" t="n">
        <v>0.7332</v>
      </c>
      <c r="H30" s="138" t="n">
        <v>0.7324000000000001</v>
      </c>
      <c r="I30" s="138">
        <f>IF(OR($B30="",9&gt;=30),"",($D$9*30-SUM($B$22:$B30))/(30-9))</f>
        <v/>
      </c>
      <c r="J30" s="139">
        <f>IF($B30="","",1-NORMDIST($D$5,$D$6+$D$7*((SUM($B$22:$B30)+(30-9)*$H$7)/30),$D$11,TRUE))</f>
        <v/>
      </c>
      <c r="K30" s="140">
        <f>IF($J30="","",100*(1-$J30))</f>
        <v/>
      </c>
      <c r="L30" s="141" t="n"/>
      <c r="M30" s="140">
        <f>IF(OR($J30="",$L30=""),"",$L30-100*$J30)</f>
        <v/>
      </c>
      <c r="N30" s="142" t="n"/>
      <c r="O30" s="142" t="n"/>
      <c r="P30" s="143">
        <f>IF($E30="","",IF($E30&gt;0.05,"WARM dev3 — spike risk UP",IF($E30&lt;-0.05,"COLD dev3 — spike risk DOWN","")))</f>
        <v/>
      </c>
      <c r="Q30" s="144" t="n"/>
      <c r="R30" s="138">
        <f>$D$9</f>
        <v/>
      </c>
      <c r="S30" s="140">
        <f>IF($J30="","",$J30*100)</f>
        <v/>
      </c>
    </row>
    <row r="31">
      <c r="A31" s="136" t="inlineStr">
        <is>
          <t>Sep 10</t>
        </is>
      </c>
      <c r="B31" s="137" t="n"/>
      <c r="C31" s="137" t="n"/>
      <c r="D31" s="138">
        <f>IF(OR($B31="",$C31=""),"",$B31-$C31)</f>
        <v/>
      </c>
      <c r="E31" s="138">
        <f>IF(COUNT($D29:$D31)&lt;3,"",AVERAGE($D29:$D31))</f>
        <v/>
      </c>
      <c r="F31" s="138">
        <f>IF($B31="","",AVERAGE($B$22:$B31))</f>
        <v/>
      </c>
      <c r="G31" s="138" t="n">
        <v>0.7363</v>
      </c>
      <c r="H31" s="138" t="n">
        <v>0.7514</v>
      </c>
      <c r="I31" s="138">
        <f>IF(OR($B31="",10&gt;=30),"",($D$9*30-SUM($B$22:$B31))/(30-10))</f>
        <v/>
      </c>
      <c r="J31" s="139">
        <f>IF($B31="","",1-NORMDIST($D$5,$D$6+$D$7*((SUM($B$22:$B31)+(30-10)*$H$7)/30),$D$11,TRUE))</f>
        <v/>
      </c>
      <c r="K31" s="140">
        <f>IF($J31="","",100*(1-$J31))</f>
        <v/>
      </c>
      <c r="L31" s="141" t="n"/>
      <c r="M31" s="140">
        <f>IF(OR($J31="",$L31=""),"",$L31-100*$J31)</f>
        <v/>
      </c>
      <c r="N31" s="142" t="n"/>
      <c r="O31" s="142" t="n"/>
      <c r="P31" s="143">
        <f>IF($E31="","",IF($E31&gt;0.05,"WARM dev3 — spike risk UP",IF($E31&lt;-0.05,"COLD dev3 — spike risk DOWN","")))</f>
        <v/>
      </c>
      <c r="Q31" s="144" t="n"/>
      <c r="R31" s="138">
        <f>$D$9</f>
        <v/>
      </c>
      <c r="S31" s="140">
        <f>IF($J31="","",$J31*100)</f>
        <v/>
      </c>
    </row>
    <row r="32">
      <c r="A32" s="136" t="inlineStr">
        <is>
          <t>Sep 11</t>
        </is>
      </c>
      <c r="B32" s="137" t="n"/>
      <c r="C32" s="137" t="n"/>
      <c r="D32" s="138">
        <f>IF(OR($B32="",$C32=""),"",$B32-$C32)</f>
        <v/>
      </c>
      <c r="E32" s="138">
        <f>IF(COUNT($D30:$D32)&lt;3,"",AVERAGE($D30:$D32))</f>
        <v/>
      </c>
      <c r="F32" s="138">
        <f>IF($B32="","",AVERAGE($B$22:$B32))</f>
        <v/>
      </c>
      <c r="G32" s="138" t="n">
        <v>0.7407</v>
      </c>
      <c r="H32" s="138" t="n">
        <v>0.7721</v>
      </c>
      <c r="I32" s="138">
        <f>IF(OR($B32="",11&gt;=30),"",($D$9*30-SUM($B$22:$B32))/(30-11))</f>
        <v/>
      </c>
      <c r="J32" s="139">
        <f>IF($B32="","",1-NORMDIST($D$5,$D$6+$D$7*((SUM($B$22:$B32)+(30-11)*$H$7)/30),$D$11,TRUE))</f>
        <v/>
      </c>
      <c r="K32" s="140">
        <f>IF($J32="","",100*(1-$J32))</f>
        <v/>
      </c>
      <c r="L32" s="141" t="n"/>
      <c r="M32" s="140">
        <f>IF(OR($J32="",$L32=""),"",$L32-100*$J32)</f>
        <v/>
      </c>
      <c r="N32" s="142" t="n"/>
      <c r="O32" s="142" t="n"/>
      <c r="P32" s="143">
        <f>IF($E32="","",IF($E32&gt;0.05,"WARM dev3 — spike risk UP",IF($E32&lt;-0.05,"COLD dev3 — spike risk DOWN","")))</f>
        <v/>
      </c>
      <c r="Q32" s="144" t="n"/>
      <c r="R32" s="138">
        <f>$D$9</f>
        <v/>
      </c>
      <c r="S32" s="140">
        <f>IF($J32="","",$J32*100)</f>
        <v/>
      </c>
    </row>
    <row r="33">
      <c r="A33" s="136" t="inlineStr">
        <is>
          <t>Sep 12</t>
        </is>
      </c>
      <c r="B33" s="137" t="n"/>
      <c r="C33" s="137" t="n"/>
      <c r="D33" s="138">
        <f>IF(OR($B33="",$C33=""),"",$B33-$C33)</f>
        <v/>
      </c>
      <c r="E33" s="138">
        <f>IF(COUNT($D31:$D33)&lt;3,"",AVERAGE($D31:$D33))</f>
        <v/>
      </c>
      <c r="F33" s="138">
        <f>IF($B33="","",AVERAGE($B$22:$B33))</f>
        <v/>
      </c>
      <c r="G33" s="138" t="n">
        <v>0.7418</v>
      </c>
      <c r="H33" s="138" t="n">
        <v>0.7851</v>
      </c>
      <c r="I33" s="138">
        <f>IF(OR($B33="",12&gt;=30),"",($D$9*30-SUM($B$22:$B33))/(30-12))</f>
        <v/>
      </c>
      <c r="J33" s="139">
        <f>IF($B33="","",1-NORMDIST($D$5,$D$6+$D$7*((SUM($B$22:$B33)+(30-12)*$H$7)/30),$D$11,TRUE))</f>
        <v/>
      </c>
      <c r="K33" s="140">
        <f>IF($J33="","",100*(1-$J33))</f>
        <v/>
      </c>
      <c r="L33" s="141" t="n"/>
      <c r="M33" s="140">
        <f>IF(OR($J33="",$L33=""),"",$L33-100*$J33)</f>
        <v/>
      </c>
      <c r="N33" s="142" t="n"/>
      <c r="O33" s="142" t="n"/>
      <c r="P33" s="143">
        <f>IF($E33="","",IF($E33&gt;0.05,"WARM dev3 — spike risk UP",IF($E33&lt;-0.05,"COLD dev3 — spike risk DOWN","")))</f>
        <v/>
      </c>
      <c r="Q33" s="144" t="n"/>
      <c r="R33" s="138">
        <f>$D$9</f>
        <v/>
      </c>
      <c r="S33" s="140">
        <f>IF($J33="","",$J33*100)</f>
        <v/>
      </c>
    </row>
    <row r="34">
      <c r="A34" s="136" t="inlineStr">
        <is>
          <t>Sep 13</t>
        </is>
      </c>
      <c r="B34" s="137" t="n"/>
      <c r="C34" s="137" t="n"/>
      <c r="D34" s="138">
        <f>IF(OR($B34="",$C34=""),"",$B34-$C34)</f>
        <v/>
      </c>
      <c r="E34" s="138">
        <f>IF(COUNT($D32:$D34)&lt;3,"",AVERAGE($D32:$D34))</f>
        <v/>
      </c>
      <c r="F34" s="138">
        <f>IF($B34="","",AVERAGE($B$22:$B34))</f>
        <v/>
      </c>
      <c r="G34" s="138" t="n">
        <v>0.7425</v>
      </c>
      <c r="H34" s="138" t="n">
        <v>0.7932</v>
      </c>
      <c r="I34" s="138">
        <f>IF(OR($B34="",13&gt;=30),"",($D$9*30-SUM($B$22:$B34))/(30-13))</f>
        <v/>
      </c>
      <c r="J34" s="139">
        <f>IF($B34="","",1-NORMDIST($D$5,$D$6+$D$7*((SUM($B$22:$B34)+(30-13)*$H$7)/30),$D$11,TRUE))</f>
        <v/>
      </c>
      <c r="K34" s="140">
        <f>IF($J34="","",100*(1-$J34))</f>
        <v/>
      </c>
      <c r="L34" s="141" t="n"/>
      <c r="M34" s="140">
        <f>IF(OR($J34="",$L34=""),"",$L34-100*$J34)</f>
        <v/>
      </c>
      <c r="N34" s="142" t="n"/>
      <c r="O34" s="142" t="n"/>
      <c r="P34" s="143">
        <f>IF($E34="","",IF($E34&gt;0.05,"WARM dev3 — spike risk UP",IF($E34&lt;-0.05,"COLD dev3 — spike risk DOWN","")))</f>
        <v/>
      </c>
      <c r="Q34" s="144" t="n"/>
      <c r="R34" s="138">
        <f>$D$9</f>
        <v/>
      </c>
      <c r="S34" s="140">
        <f>IF($J34="","",$J34*100)</f>
        <v/>
      </c>
    </row>
    <row r="35">
      <c r="A35" s="136" t="inlineStr">
        <is>
          <t>Sep 14</t>
        </is>
      </c>
      <c r="B35" s="137" t="n"/>
      <c r="C35" s="137" t="n"/>
      <c r="D35" s="138">
        <f>IF(OR($B35="",$C35=""),"",$B35-$C35)</f>
        <v/>
      </c>
      <c r="E35" s="138">
        <f>IF(COUNT($D33:$D35)&lt;3,"",AVERAGE($D33:$D35))</f>
        <v/>
      </c>
      <c r="F35" s="138">
        <f>IF($B35="","",AVERAGE($B$22:$B35))</f>
        <v/>
      </c>
      <c r="G35" s="138" t="n">
        <v>0.7402</v>
      </c>
      <c r="H35" s="138" t="n">
        <v>0.8018999999999999</v>
      </c>
      <c r="I35" s="138">
        <f>IF(OR($B35="",14&gt;=30),"",($D$9*30-SUM($B$22:$B35))/(30-14))</f>
        <v/>
      </c>
      <c r="J35" s="139">
        <f>IF($B35="","",1-NORMDIST($D$5,$D$6+$D$7*((SUM($B$22:$B35)+(30-14)*$H$7)/30),$D$11,TRUE))</f>
        <v/>
      </c>
      <c r="K35" s="140">
        <f>IF($J35="","",100*(1-$J35))</f>
        <v/>
      </c>
      <c r="L35" s="141" t="n"/>
      <c r="M35" s="140">
        <f>IF(OR($J35="",$L35=""),"",$L35-100*$J35)</f>
        <v/>
      </c>
      <c r="N35" s="142" t="n"/>
      <c r="O35" s="142" t="n"/>
      <c r="P35" s="143">
        <f>IF($E35="","",IF($E35&gt;0.05,"WARM dev3 — spike risk UP",IF($E35&lt;-0.05,"COLD dev3 — spike risk DOWN","")))</f>
        <v/>
      </c>
      <c r="Q35" s="144" t="n"/>
      <c r="R35" s="138">
        <f>$D$9</f>
        <v/>
      </c>
      <c r="S35" s="140">
        <f>IF($J35="","",$J35*100)</f>
        <v/>
      </c>
    </row>
    <row r="36">
      <c r="A36" s="136" t="inlineStr">
        <is>
          <t>Sep 15</t>
        </is>
      </c>
      <c r="B36" s="137" t="n"/>
      <c r="C36" s="137" t="n"/>
      <c r="D36" s="138">
        <f>IF(OR($B36="",$C36=""),"",$B36-$C36)</f>
        <v/>
      </c>
      <c r="E36" s="138">
        <f>IF(COUNT($D34:$D36)&lt;3,"",AVERAGE($D34:$D36))</f>
        <v/>
      </c>
      <c r="F36" s="138">
        <f>IF($B36="","",AVERAGE($B$22:$B36))</f>
        <v/>
      </c>
      <c r="G36" s="138" t="n">
        <v>0.7344000000000001</v>
      </c>
      <c r="H36" s="138" t="n">
        <v>0.8157</v>
      </c>
      <c r="I36" s="138">
        <f>IF(OR($B36="",15&gt;=30),"",($D$9*30-SUM($B$22:$B36))/(30-15))</f>
        <v/>
      </c>
      <c r="J36" s="139">
        <f>IF($B36="","",1-NORMDIST($D$5,$D$6+$D$7*((SUM($B$22:$B36)+(30-15)*$H$7)/30),$D$11,TRUE))</f>
        <v/>
      </c>
      <c r="K36" s="140">
        <f>IF($J36="","",100*(1-$J36))</f>
        <v/>
      </c>
      <c r="L36" s="141" t="n"/>
      <c r="M36" s="140">
        <f>IF(OR($J36="",$L36=""),"",$L36-100*$J36)</f>
        <v/>
      </c>
      <c r="N36" s="142" t="n"/>
      <c r="O36" s="142" t="n"/>
      <c r="P36" s="143">
        <f>IF($E36="","",IF($E36&gt;0.05,"WARM dev3 — spike risk UP",IF($E36&lt;-0.05,"COLD dev3 — spike risk DOWN","")))</f>
        <v/>
      </c>
      <c r="Q36" s="144" t="n"/>
      <c r="R36" s="138">
        <f>$D$9</f>
        <v/>
      </c>
      <c r="S36" s="140">
        <f>IF($J36="","",$J36*100)</f>
        <v/>
      </c>
    </row>
    <row r="37">
      <c r="A37" s="136" t="inlineStr">
        <is>
          <t>Sep 16</t>
        </is>
      </c>
      <c r="B37" s="137" t="n"/>
      <c r="C37" s="137" t="n"/>
      <c r="D37" s="138">
        <f>IF(OR($B37="",$C37=""),"",$B37-$C37)</f>
        <v/>
      </c>
      <c r="E37" s="138">
        <f>IF(COUNT($D35:$D37)&lt;3,"",AVERAGE($D35:$D37))</f>
        <v/>
      </c>
      <c r="F37" s="138">
        <f>IF($B37="","",AVERAGE($B$22:$B37))</f>
        <v/>
      </c>
      <c r="G37" s="138" t="n">
        <v>0.7271</v>
      </c>
      <c r="H37" s="138" t="n">
        <v>0.8317</v>
      </c>
      <c r="I37" s="138">
        <f>IF(OR($B37="",16&gt;=30),"",($D$9*30-SUM($B$22:$B37))/(30-16))</f>
        <v/>
      </c>
      <c r="J37" s="139">
        <f>IF($B37="","",1-NORMDIST($D$5,$D$6+$D$7*((SUM($B$22:$B37)+(30-16)*$H$7)/30),$D$11,TRUE))</f>
        <v/>
      </c>
      <c r="K37" s="140">
        <f>IF($J37="","",100*(1-$J37))</f>
        <v/>
      </c>
      <c r="L37" s="141" t="n"/>
      <c r="M37" s="140">
        <f>IF(OR($J37="",$L37=""),"",$L37-100*$J37)</f>
        <v/>
      </c>
      <c r="N37" s="142" t="n"/>
      <c r="O37" s="142" t="n"/>
      <c r="P37" s="143">
        <f>IF($E37="","",IF($E37&gt;0.05,"WARM dev3 — spike risk UP",IF($E37&lt;-0.05,"COLD dev3 — spike risk DOWN","")))</f>
        <v/>
      </c>
      <c r="Q37" s="144" t="n"/>
      <c r="R37" s="138">
        <f>$D$9</f>
        <v/>
      </c>
      <c r="S37" s="140">
        <f>IF($J37="","",$J37*100)</f>
        <v/>
      </c>
    </row>
    <row r="38">
      <c r="A38" s="136" t="inlineStr">
        <is>
          <t>Sep 17</t>
        </is>
      </c>
      <c r="B38" s="137" t="n"/>
      <c r="C38" s="137" t="n"/>
      <c r="D38" s="138">
        <f>IF(OR($B38="",$C38=""),"",$B38-$C38)</f>
        <v/>
      </c>
      <c r="E38" s="138">
        <f>IF(COUNT($D36:$D38)&lt;3,"",AVERAGE($D36:$D38))</f>
        <v/>
      </c>
      <c r="F38" s="138">
        <f>IF($B38="","",AVERAGE($B$22:$B38))</f>
        <v/>
      </c>
      <c r="G38" s="138" t="n">
        <v>0.7209</v>
      </c>
      <c r="H38" s="138" t="n">
        <v>0.8448</v>
      </c>
      <c r="I38" s="138">
        <f>IF(OR($B38="",17&gt;=30),"",($D$9*30-SUM($B$22:$B38))/(30-17))</f>
        <v/>
      </c>
      <c r="J38" s="139">
        <f>IF($B38="","",1-NORMDIST($D$5,$D$6+$D$7*((SUM($B$22:$B38)+(30-17)*$H$7)/30),$D$11,TRUE))</f>
        <v/>
      </c>
      <c r="K38" s="140">
        <f>IF($J38="","",100*(1-$J38))</f>
        <v/>
      </c>
      <c r="L38" s="141" t="n"/>
      <c r="M38" s="140">
        <f>IF(OR($J38="",$L38=""),"",$L38-100*$J38)</f>
        <v/>
      </c>
      <c r="N38" s="142" t="n"/>
      <c r="O38" s="142" t="n"/>
      <c r="P38" s="143">
        <f>IF($E38="","",IF($E38&gt;0.05,"WARM dev3 — spike risk UP",IF($E38&lt;-0.05,"COLD dev3 — spike risk DOWN","")))</f>
        <v/>
      </c>
      <c r="Q38" s="144" t="n"/>
      <c r="R38" s="138">
        <f>$D$9</f>
        <v/>
      </c>
      <c r="S38" s="140">
        <f>IF($J38="","",$J38*100)</f>
        <v/>
      </c>
    </row>
    <row r="39">
      <c r="A39" s="136" t="inlineStr">
        <is>
          <t>Sep 18</t>
        </is>
      </c>
      <c r="B39" s="137" t="n"/>
      <c r="C39" s="137" t="n"/>
      <c r="D39" s="138">
        <f>IF(OR($B39="",$C39=""),"",$B39-$C39)</f>
        <v/>
      </c>
      <c r="E39" s="138">
        <f>IF(COUNT($D37:$D39)&lt;3,"",AVERAGE($D37:$D39))</f>
        <v/>
      </c>
      <c r="F39" s="138">
        <f>IF($B39="","",AVERAGE($B$22:$B39))</f>
        <v/>
      </c>
      <c r="G39" s="138" t="n">
        <v>0.7186</v>
      </c>
      <c r="H39" s="138" t="n">
        <v>0.8535</v>
      </c>
      <c r="I39" s="138">
        <f>IF(OR($B39="",18&gt;=30),"",($D$9*30-SUM($B$22:$B39))/(30-18))</f>
        <v/>
      </c>
      <c r="J39" s="139">
        <f>IF($B39="","",1-NORMDIST($D$5,$D$6+$D$7*((SUM($B$22:$B39)+(30-18)*$H$7)/30),$D$11,TRUE))</f>
        <v/>
      </c>
      <c r="K39" s="140">
        <f>IF($J39="","",100*(1-$J39))</f>
        <v/>
      </c>
      <c r="L39" s="141" t="n"/>
      <c r="M39" s="140">
        <f>IF(OR($J39="",$L39=""),"",$L39-100*$J39)</f>
        <v/>
      </c>
      <c r="N39" s="142" t="n"/>
      <c r="O39" s="142" t="n"/>
      <c r="P39" s="143">
        <f>IF($E39="","",IF($E39&gt;0.05,"WARM dev3 — spike risk UP",IF($E39&lt;-0.05,"COLD dev3 — spike risk DOWN","")))</f>
        <v/>
      </c>
      <c r="Q39" s="144" t="n"/>
      <c r="R39" s="138">
        <f>$D$9</f>
        <v/>
      </c>
      <c r="S39" s="140">
        <f>IF($J39="","",$J39*100)</f>
        <v/>
      </c>
    </row>
    <row r="40">
      <c r="A40" s="136" t="inlineStr">
        <is>
          <t>Sep 19</t>
        </is>
      </c>
      <c r="B40" s="137" t="n"/>
      <c r="C40" s="137" t="n"/>
      <c r="D40" s="138">
        <f>IF(OR($B40="",$C40=""),"",$B40-$C40)</f>
        <v/>
      </c>
      <c r="E40" s="138">
        <f>IF(COUNT($D38:$D40)&lt;3,"",AVERAGE($D38:$D40))</f>
        <v/>
      </c>
      <c r="F40" s="138">
        <f>IF($B40="","",AVERAGE($B$22:$B40))</f>
        <v/>
      </c>
      <c r="G40" s="138" t="n">
        <v>0.717</v>
      </c>
      <c r="H40" s="138" t="n">
        <v>0.8596</v>
      </c>
      <c r="I40" s="138">
        <f>IF(OR($B40="",19&gt;=30),"",($D$9*30-SUM($B$22:$B40))/(30-19))</f>
        <v/>
      </c>
      <c r="J40" s="139">
        <f>IF($B40="","",1-NORMDIST($D$5,$D$6+$D$7*((SUM($B$22:$B40)+(30-19)*$H$7)/30),$D$11,TRUE))</f>
        <v/>
      </c>
      <c r="K40" s="140">
        <f>IF($J40="","",100*(1-$J40))</f>
        <v/>
      </c>
      <c r="L40" s="141" t="n"/>
      <c r="M40" s="140">
        <f>IF(OR($J40="",$L40=""),"",$L40-100*$J40)</f>
        <v/>
      </c>
      <c r="N40" s="142" t="n"/>
      <c r="O40" s="142" t="n"/>
      <c r="P40" s="143">
        <f>IF($E40="","",IF($E40&gt;0.05,"WARM dev3 — spike risk UP",IF($E40&lt;-0.05,"COLD dev3 — spike risk DOWN","")))</f>
        <v/>
      </c>
      <c r="Q40" s="144" t="n"/>
      <c r="R40" s="138">
        <f>$D$9</f>
        <v/>
      </c>
      <c r="S40" s="140">
        <f>IF($J40="","",$J40*100)</f>
        <v/>
      </c>
    </row>
    <row r="41">
      <c r="A41" s="136" t="inlineStr">
        <is>
          <t>Sep 20</t>
        </is>
      </c>
      <c r="B41" s="137" t="n"/>
      <c r="C41" s="137" t="n"/>
      <c r="D41" s="138">
        <f>IF(OR($B41="",$C41=""),"",$B41-$C41)</f>
        <v/>
      </c>
      <c r="E41" s="138">
        <f>IF(COUNT($D39:$D41)&lt;3,"",AVERAGE($D39:$D41))</f>
        <v/>
      </c>
      <c r="F41" s="138">
        <f>IF($B41="","",AVERAGE($B$22:$B41))</f>
        <v/>
      </c>
      <c r="G41" s="138" t="n">
        <v>0.713</v>
      </c>
      <c r="H41" s="138" t="n">
        <v>0.8658</v>
      </c>
      <c r="I41" s="138">
        <f>IF(OR($B41="",20&gt;=30),"",($D$9*30-SUM($B$22:$B41))/(30-20))</f>
        <v/>
      </c>
      <c r="J41" s="139">
        <f>IF($B41="","",1-NORMDIST($D$5,$D$6+$D$7*((SUM($B$22:$B41)+(30-20)*$H$7)/30),$D$11,TRUE))</f>
        <v/>
      </c>
      <c r="K41" s="140">
        <f>IF($J41="","",100*(1-$J41))</f>
        <v/>
      </c>
      <c r="L41" s="141" t="n"/>
      <c r="M41" s="140">
        <f>IF(OR($J41="",$L41=""),"",$L41-100*$J41)</f>
        <v/>
      </c>
      <c r="N41" s="142" t="n"/>
      <c r="O41" s="142" t="n"/>
      <c r="P41" s="143">
        <f>IF($E41="","",IF($E41&gt;0.05,"WARM dev3 — spike risk UP",IF($E41&lt;-0.05,"COLD dev3 — spike risk DOWN","")))</f>
        <v/>
      </c>
      <c r="Q41" s="144" t="n"/>
      <c r="R41" s="138">
        <f>$D$9</f>
        <v/>
      </c>
      <c r="S41" s="140">
        <f>IF($J41="","",$J41*100)</f>
        <v/>
      </c>
    </row>
    <row r="42">
      <c r="A42" s="136" t="inlineStr">
        <is>
          <t>Sep 21</t>
        </is>
      </c>
      <c r="B42" s="137" t="n"/>
      <c r="C42" s="137" t="n"/>
      <c r="D42" s="138">
        <f>IF(OR($B42="",$C42=""),"",$B42-$C42)</f>
        <v/>
      </c>
      <c r="E42" s="138">
        <f>IF(COUNT($D40:$D42)&lt;3,"",AVERAGE($D40:$D42))</f>
        <v/>
      </c>
      <c r="F42" s="138">
        <f>IF($B42="","",AVERAGE($B$22:$B42))</f>
        <v/>
      </c>
      <c r="G42" s="138" t="n">
        <v>0.7083</v>
      </c>
      <c r="H42" s="138" t="n">
        <v>0.8744</v>
      </c>
      <c r="I42" s="138">
        <f>IF(OR($B42="",21&gt;=30),"",($D$9*30-SUM($B$22:$B42))/(30-21))</f>
        <v/>
      </c>
      <c r="J42" s="139">
        <f>IF($B42="","",1-NORMDIST($D$5,$D$6+$D$7*((SUM($B$22:$B42)+(30-21)*$H$7)/30),$D$11,TRUE))</f>
        <v/>
      </c>
      <c r="K42" s="140">
        <f>IF($J42="","",100*(1-$J42))</f>
        <v/>
      </c>
      <c r="L42" s="141" t="n"/>
      <c r="M42" s="140">
        <f>IF(OR($J42="",$L42=""),"",$L42-100*$J42)</f>
        <v/>
      </c>
      <c r="N42" s="142" t="n"/>
      <c r="O42" s="142" t="n"/>
      <c r="P42" s="143">
        <f>IF($E42="","",IF($E42&gt;0.05,"WARM dev3 — spike risk UP",IF($E42&lt;-0.05,"COLD dev3 — spike risk DOWN","")))</f>
        <v/>
      </c>
      <c r="Q42" s="144" t="n"/>
      <c r="R42" s="138">
        <f>$D$9</f>
        <v/>
      </c>
      <c r="S42" s="140">
        <f>IF($J42="","",$J42*100)</f>
        <v/>
      </c>
    </row>
    <row r="43">
      <c r="A43" s="136" t="inlineStr">
        <is>
          <t>Sep 22</t>
        </is>
      </c>
      <c r="B43" s="137" t="n"/>
      <c r="C43" s="137" t="n"/>
      <c r="D43" s="138">
        <f>IF(OR($B43="",$C43=""),"",$B43-$C43)</f>
        <v/>
      </c>
      <c r="E43" s="138">
        <f>IF(COUNT($D41:$D43)&lt;3,"",AVERAGE($D41:$D43))</f>
        <v/>
      </c>
      <c r="F43" s="138">
        <f>IF($B43="","",AVERAGE($B$22:$B43))</f>
        <v/>
      </c>
      <c r="G43" s="138" t="n">
        <v>0.706</v>
      </c>
      <c r="H43" s="138" t="n">
        <v>0.8845</v>
      </c>
      <c r="I43" s="138">
        <f>IF(OR($B43="",22&gt;=30),"",($D$9*30-SUM($B$22:$B43))/(30-22))</f>
        <v/>
      </c>
      <c r="J43" s="139">
        <f>IF($B43="","",1-NORMDIST($D$5,$D$6+$D$7*((SUM($B$22:$B43)+(30-22)*$H$7)/30),$D$11,TRUE))</f>
        <v/>
      </c>
      <c r="K43" s="140">
        <f>IF($J43="","",100*(1-$J43))</f>
        <v/>
      </c>
      <c r="L43" s="141" t="n"/>
      <c r="M43" s="140">
        <f>IF(OR($J43="",$L43=""),"",$L43-100*$J43)</f>
        <v/>
      </c>
      <c r="N43" s="142" t="n"/>
      <c r="O43" s="142" t="n"/>
      <c r="P43" s="143">
        <f>IF($E43="","",IF($E43&gt;0.05,"WARM dev3 — spike risk UP",IF($E43&lt;-0.05,"COLD dev3 — spike risk DOWN","")))</f>
        <v/>
      </c>
      <c r="Q43" s="144" t="n"/>
      <c r="R43" s="138">
        <f>$D$9</f>
        <v/>
      </c>
      <c r="S43" s="140">
        <f>IF($J43="","",$J43*100)</f>
        <v/>
      </c>
    </row>
    <row r="44">
      <c r="A44" s="136" t="inlineStr">
        <is>
          <t>Sep 23</t>
        </is>
      </c>
      <c r="B44" s="137" t="n"/>
      <c r="C44" s="137" t="n"/>
      <c r="D44" s="138">
        <f>IF(OR($B44="",$C44=""),"",$B44-$C44)</f>
        <v/>
      </c>
      <c r="E44" s="138">
        <f>IF(COUNT($D42:$D44)&lt;3,"",AVERAGE($D42:$D44))</f>
        <v/>
      </c>
      <c r="F44" s="138">
        <f>IF($B44="","",AVERAGE($B$22:$B44))</f>
        <v/>
      </c>
      <c r="G44" s="138" t="n">
        <v>0.704</v>
      </c>
      <c r="H44" s="138" t="n">
        <v>0.8937</v>
      </c>
      <c r="I44" s="138">
        <f>IF(OR($B44="",23&gt;=30),"",($D$9*30-SUM($B$22:$B44))/(30-23))</f>
        <v/>
      </c>
      <c r="J44" s="139">
        <f>IF($B44="","",1-NORMDIST($D$5,$D$6+$D$7*((SUM($B$22:$B44)+(30-23)*$H$7)/30),$D$11,TRUE))</f>
        <v/>
      </c>
      <c r="K44" s="140">
        <f>IF($J44="","",100*(1-$J44))</f>
        <v/>
      </c>
      <c r="L44" s="141" t="n"/>
      <c r="M44" s="140">
        <f>IF(OR($J44="",$L44=""),"",$L44-100*$J44)</f>
        <v/>
      </c>
      <c r="N44" s="142" t="n"/>
      <c r="O44" s="142" t="n"/>
      <c r="P44" s="143">
        <f>IF($E44="","",IF($E44&gt;0.05,"WARM dev3 — spike risk UP",IF($E44&lt;-0.05,"COLD dev3 — spike risk DOWN","")))</f>
        <v/>
      </c>
      <c r="Q44" s="144" t="n"/>
      <c r="R44" s="138">
        <f>$D$9</f>
        <v/>
      </c>
      <c r="S44" s="140">
        <f>IF($J44="","",$J44*100)</f>
        <v/>
      </c>
    </row>
    <row r="45">
      <c r="A45" s="136" t="inlineStr">
        <is>
          <t>Sep 24</t>
        </is>
      </c>
      <c r="B45" s="137" t="n"/>
      <c r="C45" s="137" t="n"/>
      <c r="D45" s="138">
        <f>IF(OR($B45="",$C45=""),"",$B45-$C45)</f>
        <v/>
      </c>
      <c r="E45" s="138">
        <f>IF(COUNT($D43:$D45)&lt;3,"",AVERAGE($D43:$D45))</f>
        <v/>
      </c>
      <c r="F45" s="138">
        <f>IF($B45="","",AVERAGE($B$22:$B45))</f>
        <v/>
      </c>
      <c r="G45" s="138" t="n">
        <v>0.7057</v>
      </c>
      <c r="H45" s="138" t="n">
        <v>0.9022</v>
      </c>
      <c r="I45" s="138">
        <f>IF(OR($B45="",24&gt;=30),"",($D$9*30-SUM($B$22:$B45))/(30-24))</f>
        <v/>
      </c>
      <c r="J45" s="139">
        <f>IF($B45="","",1-NORMDIST($D$5,$D$6+$D$7*((SUM($B$22:$B45)+(30-24)*$H$7)/30),$D$11,TRUE))</f>
        <v/>
      </c>
      <c r="K45" s="140">
        <f>IF($J45="","",100*(1-$J45))</f>
        <v/>
      </c>
      <c r="L45" s="141" t="n"/>
      <c r="M45" s="140">
        <f>IF(OR($J45="",$L45=""),"",$L45-100*$J45)</f>
        <v/>
      </c>
      <c r="N45" s="142" t="n"/>
      <c r="O45" s="142" t="n"/>
      <c r="P45" s="143">
        <f>IF($E45="","",IF($E45&gt;0.05,"WARM dev3 — spike risk UP",IF($E45&lt;-0.05,"COLD dev3 — spike risk DOWN","")))</f>
        <v/>
      </c>
      <c r="Q45" s="144" t="n"/>
      <c r="R45" s="138">
        <f>$D$9</f>
        <v/>
      </c>
      <c r="S45" s="140">
        <f>IF($J45="","",$J45*100)</f>
        <v/>
      </c>
    </row>
    <row r="46">
      <c r="A46" s="136" t="inlineStr">
        <is>
          <t>Sep 25</t>
        </is>
      </c>
      <c r="B46" s="137" t="n"/>
      <c r="C46" s="137" t="n"/>
      <c r="D46" s="138">
        <f>IF(OR($B46="",$C46=""),"",$B46-$C46)</f>
        <v/>
      </c>
      <c r="E46" s="138">
        <f>IF(COUNT($D44:$D46)&lt;3,"",AVERAGE($D44:$D46))</f>
        <v/>
      </c>
      <c r="F46" s="138">
        <f>IF($B46="","",AVERAGE($B$22:$B46))</f>
        <v/>
      </c>
      <c r="G46" s="138" t="n">
        <v>0.7098</v>
      </c>
      <c r="H46" s="138" t="n">
        <v>0.9082</v>
      </c>
      <c r="I46" s="138">
        <f>IF(OR($B46="",25&gt;=30),"",($D$9*30-SUM($B$22:$B46))/(30-25))</f>
        <v/>
      </c>
      <c r="J46" s="139">
        <f>IF($B46="","",1-NORMDIST($D$5,$D$6+$D$7*((SUM($B$22:$B46)+(30-25)*$H$7)/30),$D$11,TRUE))</f>
        <v/>
      </c>
      <c r="K46" s="140">
        <f>IF($J46="","",100*(1-$J46))</f>
        <v/>
      </c>
      <c r="L46" s="141" t="n"/>
      <c r="M46" s="140">
        <f>IF(OR($J46="",$L46=""),"",$L46-100*$J46)</f>
        <v/>
      </c>
      <c r="N46" s="142" t="n"/>
      <c r="O46" s="142" t="n"/>
      <c r="P46" s="143">
        <f>IF($E46="","",IF($E46&gt;0.05,"WARM dev3 — spike risk UP",IF($E46&lt;-0.05,"COLD dev3 — spike risk DOWN","")))</f>
        <v/>
      </c>
      <c r="Q46" s="144" t="n"/>
      <c r="R46" s="138">
        <f>$D$9</f>
        <v/>
      </c>
      <c r="S46" s="140">
        <f>IF($J46="","",$J46*100)</f>
        <v/>
      </c>
    </row>
    <row r="47">
      <c r="A47" s="136" t="inlineStr">
        <is>
          <t>Sep 26</t>
        </is>
      </c>
      <c r="B47" s="137" t="n"/>
      <c r="C47" s="137" t="n"/>
      <c r="D47" s="138">
        <f>IF(OR($B47="",$C47=""),"",$B47-$C47)</f>
        <v/>
      </c>
      <c r="E47" s="138">
        <f>IF(COUNT($D45:$D47)&lt;3,"",AVERAGE($D45:$D47))</f>
        <v/>
      </c>
      <c r="F47" s="138">
        <f>IF($B47="","",AVERAGE($B$22:$B47))</f>
        <v/>
      </c>
      <c r="G47" s="138" t="n">
        <v>0.7143</v>
      </c>
      <c r="H47" s="138" t="n">
        <v>0.9135</v>
      </c>
      <c r="I47" s="138">
        <f>IF(OR($B47="",26&gt;=30),"",($D$9*30-SUM($B$22:$B47))/(30-26))</f>
        <v/>
      </c>
      <c r="J47" s="139">
        <f>IF($B47="","",1-NORMDIST($D$5,$D$6+$D$7*((SUM($B$22:$B47)+(30-26)*$H$7)/30),$D$11,TRUE))</f>
        <v/>
      </c>
      <c r="K47" s="140">
        <f>IF($J47="","",100*(1-$J47))</f>
        <v/>
      </c>
      <c r="L47" s="141" t="n"/>
      <c r="M47" s="140">
        <f>IF(OR($J47="",$L47=""),"",$L47-100*$J47)</f>
        <v/>
      </c>
      <c r="N47" s="142" t="n"/>
      <c r="O47" s="142" t="n"/>
      <c r="P47" s="143">
        <f>IF($E47="","",IF($E47&gt;0.05,"WARM dev3 — spike risk UP",IF($E47&lt;-0.05,"COLD dev3 — spike risk DOWN","")))</f>
        <v/>
      </c>
      <c r="Q47" s="144" t="n"/>
      <c r="R47" s="138">
        <f>$D$9</f>
        <v/>
      </c>
      <c r="S47" s="140">
        <f>IF($J47="","",$J47*100)</f>
        <v/>
      </c>
    </row>
    <row r="48">
      <c r="A48" s="136" t="inlineStr">
        <is>
          <t>Sep 27</t>
        </is>
      </c>
      <c r="B48" s="137" t="n"/>
      <c r="C48" s="137" t="n"/>
      <c r="D48" s="138">
        <f>IF(OR($B48="",$C48=""),"",$B48-$C48)</f>
        <v/>
      </c>
      <c r="E48" s="138">
        <f>IF(COUNT($D46:$D48)&lt;3,"",AVERAGE($D46:$D48))</f>
        <v/>
      </c>
      <c r="F48" s="138">
        <f>IF($B48="","",AVERAGE($B$22:$B48))</f>
        <v/>
      </c>
      <c r="G48" s="138" t="n">
        <v>0.7183</v>
      </c>
      <c r="H48" s="138" t="n">
        <v>0.9177</v>
      </c>
      <c r="I48" s="138">
        <f>IF(OR($B48="",27&gt;=30),"",($D$9*30-SUM($B$22:$B48))/(30-27))</f>
        <v/>
      </c>
      <c r="J48" s="139">
        <f>IF($B48="","",1-NORMDIST($D$5,$D$6+$D$7*((SUM($B$22:$B48)+(30-27)*$H$7)/30),$D$11,TRUE))</f>
        <v/>
      </c>
      <c r="K48" s="140">
        <f>IF($J48="","",100*(1-$J48))</f>
        <v/>
      </c>
      <c r="L48" s="141" t="n"/>
      <c r="M48" s="140">
        <f>IF(OR($J48="",$L48=""),"",$L48-100*$J48)</f>
        <v/>
      </c>
      <c r="N48" s="142" t="n"/>
      <c r="O48" s="142" t="n"/>
      <c r="P48" s="143">
        <f>IF($E48="","",IF($E48&gt;0.05,"WARM dev3 — spike risk UP",IF($E48&lt;-0.05,"COLD dev3 — spike risk DOWN","")))</f>
        <v/>
      </c>
      <c r="Q48" s="144" t="n"/>
      <c r="R48" s="138">
        <f>$D$9</f>
        <v/>
      </c>
      <c r="S48" s="140">
        <f>IF($J48="","",$J48*100)</f>
        <v/>
      </c>
    </row>
    <row r="49">
      <c r="A49" s="136" t="inlineStr">
        <is>
          <t>Sep 28</t>
        </is>
      </c>
      <c r="B49" s="137" t="n"/>
      <c r="C49" s="137" t="n"/>
      <c r="D49" s="138">
        <f>IF(OR($B49="",$C49=""),"",$B49-$C49)</f>
        <v/>
      </c>
      <c r="E49" s="138">
        <f>IF(COUNT($D47:$D49)&lt;3,"",AVERAGE($D47:$D49))</f>
        <v/>
      </c>
      <c r="F49" s="138">
        <f>IF($B49="","",AVERAGE($B$22:$B49))</f>
        <v/>
      </c>
      <c r="G49" s="138" t="n">
        <v>0.7211</v>
      </c>
      <c r="H49" s="138" t="n">
        <v>0.9217</v>
      </c>
      <c r="I49" s="138">
        <f>IF(OR($B49="",28&gt;=30),"",($D$9*30-SUM($B$22:$B49))/(30-28))</f>
        <v/>
      </c>
      <c r="J49" s="139">
        <f>IF($B49="","",1-NORMDIST($D$5,$D$6+$D$7*((SUM($B$22:$B49)+(30-28)*$H$7)/30),$D$11,TRUE))</f>
        <v/>
      </c>
      <c r="K49" s="140">
        <f>IF($J49="","",100*(1-$J49))</f>
        <v/>
      </c>
      <c r="L49" s="141" t="n"/>
      <c r="M49" s="140">
        <f>IF(OR($J49="",$L49=""),"",$L49-100*$J49)</f>
        <v/>
      </c>
      <c r="N49" s="142" t="n"/>
      <c r="O49" s="142" t="n"/>
      <c r="P49" s="143">
        <f>IF($E49="","",IF($E49&gt;0.05,"WARM dev3 — spike risk UP",IF($E49&lt;-0.05,"COLD dev3 — spike risk DOWN","")))</f>
        <v/>
      </c>
      <c r="Q49" s="144" t="n"/>
      <c r="R49" s="138">
        <f>$D$9</f>
        <v/>
      </c>
      <c r="S49" s="140">
        <f>IF($J49="","",$J49*100)</f>
        <v/>
      </c>
    </row>
    <row r="50">
      <c r="A50" s="136" t="inlineStr">
        <is>
          <t>Sep 29</t>
        </is>
      </c>
      <c r="B50" s="137" t="n"/>
      <c r="C50" s="137" t="n"/>
      <c r="D50" s="138">
        <f>IF(OR($B50="",$C50=""),"",$B50-$C50)</f>
        <v/>
      </c>
      <c r="E50" s="138">
        <f>IF(COUNT($D48:$D50)&lt;3,"",AVERAGE($D48:$D50))</f>
        <v/>
      </c>
      <c r="F50" s="138">
        <f>IF($B50="","",AVERAGE($B$22:$B50))</f>
        <v/>
      </c>
      <c r="G50" s="138" t="n">
        <v>0.7229</v>
      </c>
      <c r="H50" s="138" t="n">
        <v>0.9246</v>
      </c>
      <c r="I50" s="138">
        <f>IF(OR($B50="",29&gt;=30),"",($D$9*30-SUM($B$22:$B50))/(30-29))</f>
        <v/>
      </c>
      <c r="J50" s="139">
        <f>IF($B50="","",1-NORMDIST($D$5,$D$6+$D$7*((SUM($B$22:$B50)+(30-29)*$H$7)/30),$D$11,TRUE))</f>
        <v/>
      </c>
      <c r="K50" s="140">
        <f>IF($J50="","",100*(1-$J50))</f>
        <v/>
      </c>
      <c r="L50" s="141" t="n"/>
      <c r="M50" s="140">
        <f>IF(OR($J50="",$L50=""),"",$L50-100*$J50)</f>
        <v/>
      </c>
      <c r="N50" s="142" t="n"/>
      <c r="O50" s="142" t="n"/>
      <c r="P50" s="143">
        <f>IF($E50="","",IF($E50&gt;0.05,"WARM dev3 — spike risk UP",IF($E50&lt;-0.05,"COLD dev3 — spike risk DOWN","")))</f>
        <v/>
      </c>
      <c r="Q50" s="144" t="n"/>
      <c r="R50" s="138">
        <f>$D$9</f>
        <v/>
      </c>
      <c r="S50" s="140">
        <f>IF($J50="","",$J50*100)</f>
        <v/>
      </c>
    </row>
    <row r="51">
      <c r="A51" s="136" t="inlineStr">
        <is>
          <t>Sep 30</t>
        </is>
      </c>
      <c r="B51" s="137" t="n"/>
      <c r="C51" s="137" t="n"/>
      <c r="D51" s="138">
        <f>IF(OR($B51="",$C51=""),"",$B51-$C51)</f>
        <v/>
      </c>
      <c r="E51" s="138">
        <f>IF(COUNT($D49:$D51)&lt;3,"",AVERAGE($D49:$D51))</f>
        <v/>
      </c>
      <c r="F51" s="138">
        <f>IF($B51="","",AVERAGE($B$22:$B51))</f>
        <v/>
      </c>
      <c r="G51" s="138" t="n">
        <v>0.7237</v>
      </c>
      <c r="H51" s="138" t="n">
        <v>0.9263</v>
      </c>
      <c r="I51" s="138">
        <f>IF(OR($B51="",30&gt;=30),"",($D$9*30-SUM($B$22:$B51))/(30-30))</f>
        <v/>
      </c>
      <c r="J51" s="139">
        <f>IF($B51="","",1-NORMDIST($D$5,$D$6+$D$7*((SUM($B$22:$B51)+(30-30)*$H$7)/30),$D$11,TRUE))</f>
        <v/>
      </c>
      <c r="K51" s="140">
        <f>IF($J51="","",100*(1-$J51))</f>
        <v/>
      </c>
      <c r="L51" s="141" t="n"/>
      <c r="M51" s="140">
        <f>IF(OR($J51="",$L51=""),"",$L51-100*$J51)</f>
        <v/>
      </c>
      <c r="N51" s="142" t="n"/>
      <c r="O51" s="142" t="n"/>
      <c r="P51" s="143">
        <f>IF($E51="","",IF($E51&gt;0.05,"WARM dev3 — spike risk UP",IF($E51&lt;-0.05,"COLD dev3 — spike risk DOWN","")))</f>
        <v/>
      </c>
      <c r="Q51" s="144" t="n"/>
      <c r="R51" s="138">
        <f>$D$9</f>
        <v/>
      </c>
      <c r="S51" s="140">
        <f>IF($J51="","",$J51*100)</f>
        <v/>
      </c>
    </row>
    <row r="52">
      <c r="A52" s="145" t="inlineStr">
        <is>
          <t>MEAN</t>
        </is>
      </c>
      <c r="B52" s="146">
        <f>IFERROR(AVERAGE(B22:B51),"")</f>
        <v/>
      </c>
      <c r="C52" s="146">
        <f>IFERROR(AVERAGE(C22:C51),"")</f>
        <v/>
      </c>
      <c r="D52" s="146">
        <f>IFERROR(AVERAGE(D22:D51),"")</f>
        <v/>
      </c>
      <c r="E52" s="146">
        <f>IFERROR(AVERAGE(E22:E51),"")</f>
        <v/>
      </c>
      <c r="F52" s="146">
        <f>IFERROR(AVERAGE(F22:F51),"")</f>
        <v/>
      </c>
      <c r="G52" s="146">
        <f>IFERROR(AVERAGE(G22:G51),"")</f>
        <v/>
      </c>
      <c r="H52" s="146">
        <f>IFERROR(AVERAGE(H22:H51),"")</f>
        <v/>
      </c>
      <c r="I52" s="147" t="n"/>
      <c r="J52" s="148">
        <f>IFERROR(AVERAGE(J22:J51),"")</f>
        <v/>
      </c>
      <c r="K52" s="149">
        <f>IFERROR(AVERAGE(K22:K51),"")</f>
        <v/>
      </c>
      <c r="L52" s="149">
        <f>IFERROR(AVERAGE(L18:L51),"")</f>
        <v/>
      </c>
      <c r="M52" s="149">
        <f>IFERROR(AVERAGE(M18:M51),"")</f>
        <v/>
      </c>
      <c r="N52" s="149">
        <f>IFERROR(AVERAGE(N18:N51),"")</f>
        <v/>
      </c>
      <c r="O52" s="149">
        <f>IFERROR(AVERAGE(O18:O51),"")</f>
        <v/>
      </c>
      <c r="P52" s="147" t="n"/>
      <c r="Q52" s="147" t="n"/>
      <c r="R52" s="147" t="n"/>
      <c r="S52" s="147" t="n"/>
    </row>
    <row r="54">
      <c r="A54" s="169" t="inlineStr">
        <is>
          <t>CALIBRATION — September 1990–2025</t>
        </is>
      </c>
      <c r="E54" s="169" t="inlineStr">
        <is>
          <t>σ_f BY k</t>
        </is>
      </c>
      <c r="H54" s="169" t="inlineStr">
        <is>
          <t>TRANSLATION BIAS — 2026 prints</t>
        </is>
      </c>
    </row>
    <row r="55">
      <c r="A55" s="150" t="inlineStr">
        <is>
          <t>Year</t>
        </is>
      </c>
      <c r="B55" s="150" t="inlineStr">
        <is>
          <t>ERA5 mean</t>
        </is>
      </c>
      <c r="C55" s="150" t="inlineStr">
        <is>
          <t>NOAA</t>
        </is>
      </c>
      <c r="E55" s="150" t="inlineStr">
        <is>
          <t>k</t>
        </is>
      </c>
      <c r="F55" s="150" t="inlineStr">
        <is>
          <t>σ_f</t>
        </is>
      </c>
      <c r="H55" s="150" t="inlineStr">
        <is>
          <t>Month</t>
        </is>
      </c>
      <c r="I55" s="150" t="inlineStr">
        <is>
          <t>ERA5</t>
        </is>
      </c>
      <c r="J55" s="150" t="inlineStr">
        <is>
          <t>NOAA</t>
        </is>
      </c>
      <c r="K55" s="150" t="inlineStr">
        <is>
          <t>Fitted</t>
        </is>
      </c>
      <c r="L55" s="150" t="inlineStr">
        <is>
          <t>Residual</t>
        </is>
      </c>
    </row>
    <row r="56">
      <c r="A56" s="105" t="n">
        <v>1990</v>
      </c>
      <c r="B56" s="45" t="n">
        <v>-0.2346</v>
      </c>
      <c r="C56" s="46" t="n">
        <v>0.31</v>
      </c>
      <c r="E56" s="105" t="n">
        <v>0</v>
      </c>
      <c r="F56" s="47" t="n">
        <v>0.09279999999999999</v>
      </c>
      <c r="H56" t="inlineStr">
        <is>
          <t>Jan</t>
        </is>
      </c>
      <c r="I56" t="n">
        <v>0.5096000000000001</v>
      </c>
      <c r="J56" t="n">
        <v>1.1</v>
      </c>
      <c r="K56" t="n">
        <v>1.0963</v>
      </c>
      <c r="L56" t="n">
        <v>0.0037</v>
      </c>
    </row>
    <row r="57">
      <c r="A57" s="105" t="n">
        <v>1991</v>
      </c>
      <c r="B57" s="45" t="n">
        <v>-0.2058</v>
      </c>
      <c r="C57" s="46" t="n">
        <v>0.42</v>
      </c>
      <c r="E57" s="105" t="n">
        <v>1</v>
      </c>
      <c r="F57" s="47" t="n">
        <v>0.08169999999999999</v>
      </c>
      <c r="H57" t="inlineStr">
        <is>
          <t>Feb</t>
        </is>
      </c>
      <c r="I57" t="n">
        <v>0.5361</v>
      </c>
      <c r="J57" t="n">
        <v>1.18</v>
      </c>
      <c r="K57" t="n">
        <v>1.1486</v>
      </c>
      <c r="L57" t="n">
        <v>0.0314</v>
      </c>
    </row>
    <row r="58">
      <c r="A58" s="105" t="n">
        <v>1992</v>
      </c>
      <c r="B58" s="45" t="n">
        <v>-0.6131</v>
      </c>
      <c r="C58" s="46" t="n">
        <v>0.04</v>
      </c>
      <c r="E58" s="105" t="n">
        <v>2</v>
      </c>
      <c r="F58" s="47" t="n">
        <v>0.0804</v>
      </c>
      <c r="H58" t="inlineStr">
        <is>
          <t>Mar</t>
        </is>
      </c>
      <c r="I58" t="n">
        <v>0.534</v>
      </c>
      <c r="J58" t="n">
        <v>1.23</v>
      </c>
      <c r="K58" t="n">
        <v>1.1708</v>
      </c>
      <c r="L58" t="n">
        <v>0.0592</v>
      </c>
    </row>
    <row r="59">
      <c r="A59" s="105" t="n">
        <v>1993</v>
      </c>
      <c r="B59" s="45" t="n">
        <v>-0.5206</v>
      </c>
      <c r="C59" s="46" t="n">
        <v>0.18</v>
      </c>
      <c r="E59" s="105" t="n">
        <v>3</v>
      </c>
      <c r="F59" s="47" t="n">
        <v>0.0801</v>
      </c>
      <c r="H59" t="inlineStr">
        <is>
          <t>Apr</t>
        </is>
      </c>
      <c r="I59" t="n">
        <v>0.5232</v>
      </c>
      <c r="J59" t="n">
        <v>1.15</v>
      </c>
      <c r="K59" t="n">
        <v>1.116</v>
      </c>
      <c r="L59" t="n">
        <v>0.034</v>
      </c>
    </row>
    <row r="60">
      <c r="A60" s="105" t="n">
        <v>1994</v>
      </c>
      <c r="B60" s="45" t="n">
        <v>-0.2428</v>
      </c>
      <c r="C60" s="46" t="n">
        <v>0.35</v>
      </c>
      <c r="E60" s="105" t="n">
        <v>4</v>
      </c>
      <c r="F60" s="47" t="n">
        <v>0.07920000000000001</v>
      </c>
      <c r="H60" t="inlineStr">
        <is>
          <t>May</t>
        </is>
      </c>
      <c r="I60" t="n">
        <v>0.5455</v>
      </c>
      <c r="J60" t="n">
        <v>1.08</v>
      </c>
      <c r="K60" t="n">
        <v>1.0698</v>
      </c>
      <c r="L60" t="n">
        <v>0.0102</v>
      </c>
    </row>
    <row r="61">
      <c r="A61" s="105" t="n">
        <v>1995</v>
      </c>
      <c r="B61" s="45" t="n">
        <v>-0.2046</v>
      </c>
      <c r="C61" s="46" t="n">
        <v>0.4</v>
      </c>
      <c r="E61" s="105" t="n">
        <v>5</v>
      </c>
      <c r="F61" s="47" t="n">
        <v>0.07779999999999999</v>
      </c>
      <c r="H61" t="inlineStr">
        <is>
          <t>Jun</t>
        </is>
      </c>
      <c r="I61" t="n">
        <v>0.5593</v>
      </c>
      <c r="J61" t="n">
        <v>1.09</v>
      </c>
      <c r="K61" t="n">
        <v>1.0941</v>
      </c>
      <c r="L61" t="n">
        <v>-0.0041</v>
      </c>
    </row>
    <row r="62">
      <c r="A62" s="105" t="n">
        <v>1996</v>
      </c>
      <c r="B62" s="45" t="n">
        <v>-0.3317</v>
      </c>
      <c r="C62" s="46" t="n">
        <v>0.29</v>
      </c>
      <c r="E62" s="105" t="n">
        <v>6</v>
      </c>
      <c r="F62" s="47" t="n">
        <v>0.0755</v>
      </c>
      <c r="H62" s="151" t="inlineStr">
        <is>
          <t>MEAN</t>
        </is>
      </c>
      <c r="L62" s="48">
        <f>AVERAGE(L56:L61)</f>
        <v/>
      </c>
    </row>
    <row r="63">
      <c r="A63" s="105" t="n">
        <v>1997</v>
      </c>
      <c r="B63" s="45" t="n">
        <v>-0.06859999999999999</v>
      </c>
      <c r="C63" s="46" t="n">
        <v>0.6</v>
      </c>
      <c r="E63" s="105" t="n">
        <v>7</v>
      </c>
      <c r="F63" s="47" t="n">
        <v>0.07389999999999999</v>
      </c>
    </row>
    <row r="64">
      <c r="A64" s="105" t="n">
        <v>1998</v>
      </c>
      <c r="B64" s="45" t="n">
        <v>-0.0567</v>
      </c>
      <c r="C64" s="46" t="n">
        <v>0.49</v>
      </c>
      <c r="E64" s="105" t="n">
        <v>8</v>
      </c>
      <c r="F64" s="47" t="n">
        <v>0.07240000000000001</v>
      </c>
    </row>
    <row r="65">
      <c r="A65" s="105" t="n">
        <v>1999</v>
      </c>
      <c r="B65" s="45" t="n">
        <v>-0.2046</v>
      </c>
      <c r="C65" s="46" t="n">
        <v>0.44</v>
      </c>
      <c r="E65" s="105" t="n">
        <v>9</v>
      </c>
      <c r="F65" s="47" t="n">
        <v>0.07099999999999999</v>
      </c>
    </row>
    <row r="66">
      <c r="A66" s="105" t="n">
        <v>2000</v>
      </c>
      <c r="B66" s="45" t="n">
        <v>-0.2428</v>
      </c>
      <c r="C66" s="46" t="n">
        <v>0.45</v>
      </c>
      <c r="E66" s="105" t="n">
        <v>10</v>
      </c>
      <c r="F66" s="47" t="n">
        <v>0.0698</v>
      </c>
    </row>
    <row r="67">
      <c r="A67" s="105" t="n">
        <v>2001</v>
      </c>
      <c r="B67" s="45" t="n">
        <v>-0.0822</v>
      </c>
      <c r="C67" s="46" t="n">
        <v>0.54</v>
      </c>
      <c r="E67" s="105" t="n">
        <v>11</v>
      </c>
      <c r="F67" s="47" t="n">
        <v>0.0682</v>
      </c>
    </row>
    <row r="68">
      <c r="A68" s="105" t="n">
        <v>2002</v>
      </c>
      <c r="B68" s="45" t="n">
        <v>0.0012</v>
      </c>
      <c r="C68" s="46" t="n">
        <v>0.5600000000000001</v>
      </c>
      <c r="E68" s="105" t="n">
        <v>12</v>
      </c>
      <c r="F68" s="47" t="n">
        <v>0.0663</v>
      </c>
    </row>
    <row r="69">
      <c r="A69" s="105" t="n">
        <v>2003</v>
      </c>
      <c r="B69" s="45" t="n">
        <v>0.0697</v>
      </c>
      <c r="C69" s="46" t="n">
        <v>0.65</v>
      </c>
      <c r="E69" s="105" t="n">
        <v>13</v>
      </c>
      <c r="F69" s="47" t="n">
        <v>0.06419999999999999</v>
      </c>
    </row>
    <row r="70">
      <c r="A70" s="105" t="n">
        <v>2004</v>
      </c>
      <c r="B70" s="45" t="n">
        <v>-0.044</v>
      </c>
      <c r="C70" s="46" t="n">
        <v>0.53</v>
      </c>
      <c r="E70" s="105" t="n">
        <v>14</v>
      </c>
      <c r="F70" s="47" t="n">
        <v>0.0614</v>
      </c>
    </row>
    <row r="71">
      <c r="A71" s="105" t="n">
        <v>2005</v>
      </c>
      <c r="B71" s="45" t="n">
        <v>0.1256</v>
      </c>
      <c r="C71" s="46" t="n">
        <v>0.68</v>
      </c>
      <c r="E71" s="105" t="n">
        <v>15</v>
      </c>
      <c r="F71" s="47" t="n">
        <v>0.0581</v>
      </c>
    </row>
    <row r="72">
      <c r="A72" s="105" t="n">
        <v>2006</v>
      </c>
      <c r="B72" s="45" t="n">
        <v>0.0442</v>
      </c>
      <c r="C72" s="46" t="n">
        <v>0.64</v>
      </c>
      <c r="E72" s="105" t="n">
        <v>16</v>
      </c>
      <c r="F72" s="47" t="n">
        <v>0.0541</v>
      </c>
    </row>
    <row r="73">
      <c r="A73" s="105" t="n">
        <v>2007</v>
      </c>
      <c r="B73" s="45" t="n">
        <v>-0.0939</v>
      </c>
      <c r="C73" s="46" t="n">
        <v>0.59</v>
      </c>
      <c r="E73" s="105" t="n">
        <v>17</v>
      </c>
      <c r="F73" s="47" t="n">
        <v>0.0499</v>
      </c>
    </row>
    <row r="74">
      <c r="A74" s="105" t="n">
        <v>2008</v>
      </c>
      <c r="B74" s="45" t="n">
        <v>-0.034</v>
      </c>
      <c r="C74" s="46" t="n">
        <v>0.59</v>
      </c>
      <c r="E74" s="105" t="n">
        <v>18</v>
      </c>
      <c r="F74" s="47" t="n">
        <v>0.046</v>
      </c>
    </row>
    <row r="75">
      <c r="A75" s="105" t="n">
        <v>2009</v>
      </c>
      <c r="B75" s="45" t="n">
        <v>0.0997</v>
      </c>
      <c r="C75" s="46" t="n">
        <v>0.74</v>
      </c>
      <c r="E75" s="105" t="n">
        <v>19</v>
      </c>
      <c r="F75" s="47" t="n">
        <v>0.0423</v>
      </c>
    </row>
    <row r="76">
      <c r="A76" s="105" t="n">
        <v>2010</v>
      </c>
      <c r="B76" s="45" t="n">
        <v>0.0949</v>
      </c>
      <c r="C76" s="46" t="n">
        <v>0.63</v>
      </c>
      <c r="E76" s="105" t="n">
        <v>20</v>
      </c>
      <c r="F76" s="47" t="n">
        <v>0.0387</v>
      </c>
    </row>
    <row r="77">
      <c r="A77" s="105" t="n">
        <v>2011</v>
      </c>
      <c r="B77" s="45" t="n">
        <v>0.0433</v>
      </c>
      <c r="C77" s="46" t="n">
        <v>0.61</v>
      </c>
      <c r="E77" s="105" t="n">
        <v>21</v>
      </c>
      <c r="F77" s="47" t="n">
        <v>0.035</v>
      </c>
    </row>
    <row r="78">
      <c r="A78" s="105" t="n">
        <v>2012</v>
      </c>
      <c r="B78" s="45" t="n">
        <v>0.1088</v>
      </c>
      <c r="C78" s="46" t="n">
        <v>0.72</v>
      </c>
      <c r="E78" s="105" t="n">
        <v>22</v>
      </c>
      <c r="F78" s="47" t="n">
        <v>0.0312</v>
      </c>
    </row>
    <row r="79">
      <c r="A79" s="105" t="n">
        <v>2013</v>
      </c>
      <c r="B79" s="45" t="n">
        <v>0.1657</v>
      </c>
      <c r="C79" s="46" t="n">
        <v>0.75</v>
      </c>
      <c r="E79" s="105" t="n">
        <v>23</v>
      </c>
      <c r="F79" s="47" t="n">
        <v>0.0275</v>
      </c>
    </row>
    <row r="80">
      <c r="A80" s="105" t="n">
        <v>2014</v>
      </c>
      <c r="B80" s="45" t="n">
        <v>0.1803</v>
      </c>
      <c r="C80" s="46" t="n">
        <v>0.8</v>
      </c>
      <c r="E80" s="105" t="n">
        <v>24</v>
      </c>
      <c r="F80" s="47" t="n">
        <v>0.0241</v>
      </c>
    </row>
    <row r="81">
      <c r="A81" s="105" t="n">
        <v>2015</v>
      </c>
      <c r="B81" s="45" t="n">
        <v>0.2628</v>
      </c>
      <c r="C81" s="46" t="n">
        <v>0.9</v>
      </c>
      <c r="E81" s="105" t="n">
        <v>25</v>
      </c>
      <c r="F81" s="47" t="n">
        <v>0.0204</v>
      </c>
    </row>
    <row r="82">
      <c r="A82" s="105" t="n">
        <v>2016</v>
      </c>
      <c r="B82" s="45" t="n">
        <v>0.3536</v>
      </c>
      <c r="C82" s="46" t="n">
        <v>0.93</v>
      </c>
      <c r="E82" s="105" t="n">
        <v>26</v>
      </c>
      <c r="F82" s="47" t="n">
        <v>0.0162</v>
      </c>
    </row>
    <row r="83">
      <c r="A83" s="105" t="n">
        <v>2017</v>
      </c>
      <c r="B83" s="45" t="n">
        <v>0.2755</v>
      </c>
      <c r="C83" s="46" t="n">
        <v>0.86</v>
      </c>
      <c r="E83" s="105" t="n">
        <v>27</v>
      </c>
      <c r="F83" s="47" t="n">
        <v>0.0118</v>
      </c>
    </row>
    <row r="84">
      <c r="A84" s="105" t="n">
        <v>2018</v>
      </c>
      <c r="B84" s="45" t="n">
        <v>0.1954</v>
      </c>
      <c r="C84" s="46" t="n">
        <v>0.8100000000000001</v>
      </c>
      <c r="E84" s="105" t="n">
        <v>28</v>
      </c>
      <c r="F84" s="47" t="n">
        <v>0.0077</v>
      </c>
    </row>
    <row r="85">
      <c r="A85" s="105" t="n">
        <v>2019</v>
      </c>
      <c r="B85" s="45" t="n">
        <v>0.3747</v>
      </c>
      <c r="C85" s="46" t="n">
        <v>0.95</v>
      </c>
      <c r="E85" s="105" t="n">
        <v>29</v>
      </c>
      <c r="F85" s="47" t="n">
        <v>0.0037</v>
      </c>
    </row>
    <row r="86">
      <c r="A86" s="105" t="n">
        <v>2020</v>
      </c>
      <c r="B86" s="45" t="n">
        <v>0.4295</v>
      </c>
      <c r="C86" s="46" t="n">
        <v>0.99</v>
      </c>
      <c r="E86" s="105" t="n">
        <v>30</v>
      </c>
      <c r="F86" s="47" t="n">
        <v>0</v>
      </c>
    </row>
    <row r="87">
      <c r="A87" s="105" t="n">
        <v>2021</v>
      </c>
      <c r="B87" s="45" t="n">
        <v>0.3974</v>
      </c>
      <c r="C87" s="46" t="n">
        <v>0.93</v>
      </c>
    </row>
    <row r="88">
      <c r="A88" s="105" t="n">
        <v>2022</v>
      </c>
      <c r="B88" s="45" t="n">
        <v>0.3454</v>
      </c>
      <c r="C88" s="46" t="n">
        <v>0.87</v>
      </c>
    </row>
    <row r="89">
      <c r="A89" s="105" t="n">
        <v>2023</v>
      </c>
      <c r="B89" s="45" t="n">
        <v>0.9263</v>
      </c>
      <c r="C89" s="46" t="n">
        <v>1.41</v>
      </c>
    </row>
    <row r="90">
      <c r="A90" s="105" t="n">
        <v>2024</v>
      </c>
      <c r="B90" s="45" t="n">
        <v>0.7237</v>
      </c>
      <c r="C90" s="46" t="n">
        <v>1.22</v>
      </c>
    </row>
    <row r="91">
      <c r="A91" s="105" t="n">
        <v>2025</v>
      </c>
      <c r="B91" s="45" t="n">
        <v>0.6582</v>
      </c>
      <c r="C91" s="46" t="n">
        <v>1.14</v>
      </c>
    </row>
  </sheetData>
  <mergeCells count="57">
    <mergeCell ref="E10:G10"/>
    <mergeCell ref="E13:G13"/>
    <mergeCell ref="M8:P8"/>
    <mergeCell ref="H54:L54"/>
    <mergeCell ref="E9:G9"/>
    <mergeCell ref="I12:K12"/>
    <mergeCell ref="A12:C12"/>
    <mergeCell ref="M14:P14"/>
    <mergeCell ref="E15:G15"/>
    <mergeCell ref="A1:Q1"/>
    <mergeCell ref="E6:G6"/>
    <mergeCell ref="A54:C54"/>
    <mergeCell ref="M4:P4"/>
    <mergeCell ref="E11:G11"/>
    <mergeCell ref="E3:H3"/>
    <mergeCell ref="A5:C5"/>
    <mergeCell ref="I14:K14"/>
    <mergeCell ref="A8:C8"/>
    <mergeCell ref="A14:C14"/>
    <mergeCell ref="I5:K5"/>
    <mergeCell ref="I8:K8"/>
    <mergeCell ref="I4:K4"/>
    <mergeCell ref="A4:C4"/>
    <mergeCell ref="E7:G7"/>
    <mergeCell ref="M9:P9"/>
    <mergeCell ref="A10:C10"/>
    <mergeCell ref="M5:P5"/>
    <mergeCell ref="A13:C13"/>
    <mergeCell ref="I10:K10"/>
    <mergeCell ref="I13:K13"/>
    <mergeCell ref="I9:K9"/>
    <mergeCell ref="A2:Q2"/>
    <mergeCell ref="A9:C9"/>
    <mergeCell ref="E12:G12"/>
    <mergeCell ref="M11:P11"/>
    <mergeCell ref="A15:C15"/>
    <mergeCell ref="M10:P10"/>
    <mergeCell ref="M3:Q3"/>
    <mergeCell ref="I15:K15"/>
    <mergeCell ref="I6:K6"/>
    <mergeCell ref="I11:K11"/>
    <mergeCell ref="A11:C11"/>
    <mergeCell ref="E54:F54"/>
    <mergeCell ref="E14:G14"/>
    <mergeCell ref="I3:L3"/>
    <mergeCell ref="E5:G5"/>
    <mergeCell ref="M13:P13"/>
    <mergeCell ref="A3:D3"/>
    <mergeCell ref="A6:C6"/>
    <mergeCell ref="E8:G8"/>
    <mergeCell ref="M7:P7"/>
    <mergeCell ref="M6:P6"/>
    <mergeCell ref="E4:G4"/>
    <mergeCell ref="M12:P12"/>
    <mergeCell ref="M15:P15"/>
    <mergeCell ref="A7:C7"/>
    <mergeCell ref="I7:K7"/>
  </mergeCells>
  <conditionalFormatting sqref="B22:B51">
    <cfRule type="cellIs" priority="5" operator="greaterThanOrEqual" dxfId="1">
      <formula>$D$9</formula>
    </cfRule>
  </conditionalFormatting>
  <conditionalFormatting sqref="D12">
    <cfRule type="cellIs" priority="6" operator="equal" dxfId="4">
      <formula>"DRIFT"</formula>
    </cfRule>
  </conditionalFormatting>
  <conditionalFormatting sqref="E18:E51">
    <cfRule type="cellIs" priority="1" operator="greaterThan" dxfId="3">
      <formula>0.05</formula>
    </cfRule>
    <cfRule type="cellIs" priority="2" operator="lessThan" dxfId="2">
      <formula>-0.05</formula>
    </cfRule>
  </conditionalFormatting>
  <conditionalFormatting sqref="M18:M51">
    <cfRule type="cellIs" priority="3" operator="greaterThanOrEqual" dxfId="1">
      <formula>3</formula>
    </cfRule>
    <cfRule type="cellIs" priority="4" operator="lessThanOrEqual" dxfId="0">
      <formula>-3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2026-08-01T08:48:41Z</dcterms:created>
  <dcterms:modified xmlns:dcterms="http://purl.org/dc/terms/" xmlns:xsi="http://www.w3.org/2001/XMLSchema-instance" xsi:type="dcterms:W3CDTF">2026-08-05T15:00:32Z</dcterms:modified>
  <cp:lastModifiedBy>felipe cardozo</cp:lastModifiedBy>
</cp:coreProperties>
</file>